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Revenue" sheetId="3" state="visible" r:id="rId5"/>
    <sheet name="P&amp;L" sheetId="4" state="visible" r:id="rId6"/>
    <sheet name="AI-Native Team" sheetId="5" state="visible" r:id="rId7"/>
    <sheet name="KPIs" sheetId="6" state="visible" r:id="rId8"/>
    <sheet name="Valuation" sheetId="7" state="visible" r:id="rId9"/>
    <sheet name="Use of Funds" sheetId="8" state="visible" r:id="rId10"/>
    <sheet name="Deck Reconcili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<sst xmlns="http://schemas.openxmlformats.org/spreadsheetml/2006/main" count="399" uniqueCount="287">
  <si>
    <t xml:space="preserve">WeekendAI Labs — 3-Year Operating Model</t>
  </si>
  <si>
    <t xml:space="preserve">Companion to the WeekendAI Labs Business Plan wiki (Financial Plan section). Internal operating plan, prepared Sep 2026.</t>
  </si>
  <si>
    <t xml:space="preserve">How to use</t>
  </si>
  <si>
    <t xml:space="preserve">1. Edit only BLUE cells on the 'Assumptions' sheet (yellow-filled = key levers). Every other sheet recalculates.</t>
  </si>
  <si>
    <t xml:space="preserve">2. 'Revenue' builds each of the 13 revenue lines from volume × price. 'P&amp;L' adds COGS (via gross-margin inputs), opex and EBITDA.</t>
  </si>
  <si>
    <t xml:space="preserve">3. 'KPIs' tracks unit economics against the deck targets. 'Deck Reconciliation' compares model output to the investor-deck figures.</t>
  </si>
  <si>
    <t xml:space="preserve">4. 'Valuation' applies the three multiple benchmarks cited in the deck. 'Use of Funds' allocates the proposed $2.5M raise.</t>
  </si>
  <si>
    <t xml:space="preserve">Colour legend</t>
  </si>
  <si>
    <t xml:space="preserve">Blue text = hardcoded input · Black = formula · Green = link from another sheet · Yellow fill = key lever</t>
  </si>
  <si>
    <t xml:space="preserve">Source of inputs</t>
  </si>
  <si>
    <t xml:space="preserve">Prices ($79 / $149 / $497 / $79 pm / $2,500 / $6,000 / $25k–75k), Guild members, cohort graduates, B2B contract counts, facilitator bench and deck targets come from the WeekendAI Labs investor deck (user-supplied).</t>
  </si>
  <si>
    <t xml:space="preserve">Volumes for the other lines, average contract values, gross margins, headcount and opex ratios are modelling assumptions set to reconcile to the deck's revenue path — treat them as planning estimates, not facts.</t>
  </si>
  <si>
    <t xml:space="preserve">All currency in USD. Years are operating years from launch of the ladder, not calendar years.</t>
  </si>
  <si>
    <t xml:space="preserve">AI-Native Team sheet (added Sep 2026)</t>
  </si>
  <si>
    <t xml:space="preserve">Models a lean humans + AI agents team against the baseline hiring plan. Edit FTE, cost and agent-spend inputs in blue.</t>
  </si>
  <si>
    <t xml:space="preserve">Assumptions — edit blue cells only</t>
  </si>
  <si>
    <t xml:space="preserve">Revenue driver</t>
  </si>
  <si>
    <t xml:space="preserve">Year 1</t>
  </si>
  <si>
    <t xml:space="preserve">Year 2</t>
  </si>
  <si>
    <t xml:space="preserve">Year 3</t>
  </si>
  <si>
    <t xml:space="preserve">Gross margin</t>
  </si>
  <si>
    <t xml:space="preserve">Source / note</t>
  </si>
  <si>
    <t xml:space="preserve">Workflow packs &amp; toolkit</t>
  </si>
  <si>
    <t xml:space="preserve">$79 pack / $149 toolkit blended (deck)</t>
  </si>
  <si>
    <t xml:space="preserve">   Units sold</t>
  </si>
  <si>
    <t xml:space="preserve">   Avg price ($)</t>
  </si>
  <si>
    <t xml:space="preserve">AI Fluency Academy (evergreen)</t>
  </si>
  <si>
    <t xml:space="preserve">$497 price (deck)</t>
  </si>
  <si>
    <t xml:space="preserve">   Enrolments</t>
  </si>
  <si>
    <t xml:space="preserve">   Price ($)</t>
  </si>
  <si>
    <t xml:space="preserve">Operator Guild membership</t>
  </si>
  <si>
    <t xml:space="preserve">Year-end members &amp; $79/mo (deck). Revenue uses average of opening &amp; closing members</t>
  </si>
  <si>
    <t xml:space="preserve">   Members, year-end</t>
  </si>
  <si>
    <t xml:space="preserve">   Monthly fee ($)</t>
  </si>
  <si>
    <t xml:space="preserve">AI Operator Certification (6-wk cohort)</t>
  </si>
  <si>
    <t xml:space="preserve">Seats = annual cohort graduates implied by deck (250 / 850 / 1,833 cumulative)</t>
  </si>
  <si>
    <t xml:space="preserve">   Paid seats</t>
  </si>
  <si>
    <t xml:space="preserve">Executive AI Leadership Intensive</t>
  </si>
  <si>
    <t xml:space="preserve">$6,000 price (deck); seat volumes = assumption</t>
  </si>
  <si>
    <t xml:space="preserve">   Seats</t>
  </si>
  <si>
    <t xml:space="preserve">B2B team licences &amp; enterprise programmes</t>
  </si>
  <si>
    <t xml:space="preserve">Contract counts &amp; $25k–75k band (deck); Y3 ACV above band assumes multi-year/expansion</t>
  </si>
  <si>
    <t xml:space="preserve">   Active contracts</t>
  </si>
  <si>
    <t xml:space="preserve">   Avg contract value ($)</t>
  </si>
  <si>
    <t xml:space="preserve">Corporate workshops (one-off)</t>
  </si>
  <si>
    <t xml:space="preserve">Assumption</t>
  </si>
  <si>
    <t xml:space="preserve">   Workshops</t>
  </si>
  <si>
    <t xml:space="preserve">   Avg fee ($)</t>
  </si>
  <si>
    <t xml:space="preserve">Studios project work (sites, video, ads)</t>
  </si>
  <si>
    <t xml:space="preserve">   Projects</t>
  </si>
  <si>
    <t xml:space="preserve">Studios agency retainers</t>
  </si>
  <si>
    <t xml:space="preserve">Assumption; annualised ×12</t>
  </si>
  <si>
    <t xml:space="preserve">   Avg active clients</t>
  </si>
  <si>
    <t xml:space="preserve">   Monthly retainer ($)</t>
  </si>
  <si>
    <t xml:space="preserve">Playbook &amp; framework licensing</t>
  </si>
  <si>
    <t xml:space="preserve">   Licences</t>
  </si>
  <si>
    <t xml:space="preserve">   Avg licence ($)</t>
  </si>
  <si>
    <t xml:space="preserve">Sponsorships &amp; partnerships</t>
  </si>
  <si>
    <t xml:space="preserve">Assumption; annual contracts counted as contracted revenue</t>
  </si>
  <si>
    <t xml:space="preserve">   Deals</t>
  </si>
  <si>
    <t xml:space="preserve">   Avg deal ($)</t>
  </si>
  <si>
    <t xml:space="preserve">Divine Chronicles YouTube (ad revenue)</t>
  </si>
  <si>
    <t xml:space="preserve">Assumption — channel is monetised (deck); revenue level not disclosed</t>
  </si>
  <si>
    <t xml:space="preserve">   Channel (flat)</t>
  </si>
  <si>
    <t xml:space="preserve">   Annual revenue ($)</t>
  </si>
  <si>
    <t xml:space="preserve">Merchandise &amp; identity drops</t>
  </si>
  <si>
    <t xml:space="preserve">Deck caps merch ≤6% of revenue; 55–65% apparel margin norm → model uses 60% GM</t>
  </si>
  <si>
    <t xml:space="preserve">   Orders</t>
  </si>
  <si>
    <t xml:space="preserve">   Avg order ($)</t>
  </si>
  <si>
    <t xml:space="preserve">CapabilityOS annual subscription (capos.live)</t>
  </si>
  <si>
    <t xml:space="preserve">capos.live: $54/mo billed $650/yr; renewals from year 2 at 50% off. Volumes = assumption</t>
  </si>
  <si>
    <t xml:space="preserve">   New annual subscribers</t>
  </si>
  <si>
    <t xml:space="preserve">   Annual price ($)</t>
  </si>
  <si>
    <t xml:space="preserve">CapabilityOS core package (one-time)</t>
  </si>
  <si>
    <t xml:space="preserve">capos.live: $199 one-time, 4 months of core lessons with AI-graded exercises. Volumes = assumption</t>
  </si>
  <si>
    <t xml:space="preserve">   Packages sold</t>
  </si>
  <si>
    <t xml:space="preserve">Operating expenses</t>
  </si>
  <si>
    <t xml:space="preserve">Opex driver</t>
  </si>
  <si>
    <t xml:space="preserve">Content &amp; paid acquisition (% of revenue)</t>
  </si>
  <si>
    <t xml:space="preserve">Assumption; front-loaded in line with 35% use-of-funds allocation. One-off curriculum build (use of funds) sits outside the P&amp;L</t>
  </si>
  <si>
    <t xml:space="preserve">Platform, tools &amp; hosting (% of revenue)</t>
  </si>
  <si>
    <t xml:space="preserve">Assumption (Circle, Maven/LMS, email, AI tools)</t>
  </si>
  <si>
    <t xml:space="preserve">G&amp;A — legal, finance, insurance (% of revenue)</t>
  </si>
  <si>
    <t xml:space="preserve">Merch revenue cap (% of total)</t>
  </si>
  <si>
    <t xml:space="preserve">Deck guardrail: merch ≤6% of revenue</t>
  </si>
  <si>
    <t xml:space="preserve">CapabilityOS subscriber renewal rate</t>
  </si>
  <si>
    <t xml:space="preserve">Assumption: share of paying subscribers who renew each year</t>
  </si>
  <si>
    <t xml:space="preserve">CapabilityOS renewal price (share of list)</t>
  </si>
  <si>
    <t xml:space="preserve">capos.live: year 2 onwards at 50% off</t>
  </si>
  <si>
    <t xml:space="preserve">Include CapabilityOS (1 = yes, 0 = no)</t>
  </si>
  <si>
    <t xml:space="preserve">Set to 0 to see the investor-deck base case without CapabilityOS</t>
  </si>
  <si>
    <t xml:space="preserve">Team (headcount and fully loaded annual cost)</t>
  </si>
  <si>
    <t xml:space="preserve">Role</t>
  </si>
  <si>
    <t xml:space="preserve">Loaded cost ($)</t>
  </si>
  <si>
    <t xml:space="preserve">Note</t>
  </si>
  <si>
    <t xml:space="preserve">Founder / CEO</t>
  </si>
  <si>
    <t xml:space="preserve">Founder draw; set to 0 if unpaid in Year 1</t>
  </si>
  <si>
    <t xml:space="preserve">General Manager / COO</t>
  </si>
  <si>
    <t xml:space="preserve">Deck: GM hire in Year 2</t>
  </si>
  <si>
    <t xml:space="preserve">Programme &amp; operations manager</t>
  </si>
  <si>
    <t xml:space="preserve">Runs cohorts, scheduling, SOPs</t>
  </si>
  <si>
    <t xml:space="preserve">Community manager</t>
  </si>
  <si>
    <t xml:space="preserve">Guild engagement, events, roundtables</t>
  </si>
  <si>
    <t xml:space="preserve">Content &amp; video producer</t>
  </si>
  <si>
    <t xml:space="preserve">YouTube, LinkedIn, lead magnets</t>
  </si>
  <si>
    <t xml:space="preserve">Growth / marketing lead</t>
  </si>
  <si>
    <t xml:space="preserve">Paid acquisition, funnel, newsletter</t>
  </si>
  <si>
    <t xml:space="preserve">B2B sales &amp; partnerships</t>
  </si>
  <si>
    <t xml:space="preserve">Enterprise contracts, white-label</t>
  </si>
  <si>
    <t xml:space="preserve">Certified facilitators (bench)</t>
  </si>
  <si>
    <t xml:space="preserve">Deck: 0 / 3 / 8 bench</t>
  </si>
  <si>
    <t xml:space="preserve">Platform &amp; automation engineer</t>
  </si>
  <si>
    <t xml:space="preserve">Hub, CRM, Transformation Wall</t>
  </si>
  <si>
    <t xml:space="preserve">Funding &amp; valuation</t>
  </si>
  <si>
    <t xml:space="preserve">Proposed raise ($)</t>
  </si>
  <si>
    <t xml:space="preserve">Investor deck, slide 18</t>
  </si>
  <si>
    <t xml:space="preserve">EdTech EV/Sales median</t>
  </si>
  <si>
    <t xml:space="preserve">DealMatrix, Jun 2025 (cited in deck)</t>
  </si>
  <si>
    <t xml:space="preserve">EdTech median revenue multiple — downside</t>
  </si>
  <si>
    <t xml:space="preserve">Finerva, Q4 2024 (cited in deck)</t>
  </si>
  <si>
    <t xml:space="preserve">EdTech EV/EBITDA</t>
  </si>
  <si>
    <t xml:space="preserve">Guild member lifetime (years) for LTV</t>
  </si>
  <si>
    <t xml:space="preserve">Deck: LTV defined on a 2-year Guild member</t>
  </si>
  <si>
    <t xml:space="preserve">Revenue build ($)</t>
  </si>
  <si>
    <t xml:space="preserve">Revenue line</t>
  </si>
  <si>
    <t xml:space="preserve">Pillar</t>
  </si>
  <si>
    <t xml:space="preserve">Brand</t>
  </si>
  <si>
    <t xml:space="preserve">Recurring?</t>
  </si>
  <si>
    <t xml:space="preserve">CapabilityOS subscribers</t>
  </si>
  <si>
    <t xml:space="preserve">1 Digital Products</t>
  </si>
  <si>
    <t xml:space="preserve">School</t>
  </si>
  <si>
    <t xml:space="preserve">No</t>
  </si>
  <si>
    <t xml:space="preserve">New paying subscribers</t>
  </si>
  <si>
    <t xml:space="preserve">Renewing subscribers</t>
  </si>
  <si>
    <t xml:space="preserve">3 Community</t>
  </si>
  <si>
    <t xml:space="preserve">AI Edge</t>
  </si>
  <si>
    <t xml:space="preserve">Yes</t>
  </si>
  <si>
    <t xml:space="preserve">Paying subscribers in year</t>
  </si>
  <si>
    <t xml:space="preserve">2 Transformation</t>
  </si>
  <si>
    <t xml:space="preserve">Renewals are priced at the renewal share of list price.</t>
  </si>
  <si>
    <t xml:space="preserve">Studios</t>
  </si>
  <si>
    <t xml:space="preserve">Portfolio</t>
  </si>
  <si>
    <t xml:space="preserve">WeekendAI Hub</t>
  </si>
  <si>
    <t xml:space="preserve">4 Merchandise</t>
  </si>
  <si>
    <t xml:space="preserve">Total revenue</t>
  </si>
  <si>
    <t xml:space="preserve">Revenue mix</t>
  </si>
  <si>
    <t xml:space="preserve">Recurring + contracted revenue</t>
  </si>
  <si>
    <t xml:space="preserve">Recurring + contracted share</t>
  </si>
  <si>
    <t xml:space="preserve">Merch share of revenue (guardrail ≤6%)</t>
  </si>
  <si>
    <t xml:space="preserve">Merch guardrail check</t>
  </si>
  <si>
    <t xml:space="preserve">Revenue by pillar</t>
  </si>
  <si>
    <t xml:space="preserve">Revenue by brand</t>
  </si>
  <si>
    <t xml:space="preserve">Profit &amp; loss ($)</t>
  </si>
  <si>
    <t xml:space="preserve">Line</t>
  </si>
  <si>
    <t xml:space="preserve">Revenue</t>
  </si>
  <si>
    <t xml:space="preserve">Cost of delivery (COGS)</t>
  </si>
  <si>
    <t xml:space="preserve">Gross profit</t>
  </si>
  <si>
    <t xml:space="preserve">Content &amp; paid acquisition</t>
  </si>
  <si>
    <t xml:space="preserve">Team (loaded payroll)</t>
  </si>
  <si>
    <t xml:space="preserve">Platform, tools &amp; hosting</t>
  </si>
  <si>
    <t xml:space="preserve">G&amp;A</t>
  </si>
  <si>
    <t xml:space="preserve">Total opex</t>
  </si>
  <si>
    <t xml:space="preserve">EBITDA</t>
  </si>
  <si>
    <t xml:space="preserve">EBITDA margin</t>
  </si>
  <si>
    <t xml:space="preserve">Headcount (FTE)</t>
  </si>
  <si>
    <t xml:space="preserve">Revenue per FTE</t>
  </si>
  <si>
    <t xml:space="preserve">Cumulative EBITDA</t>
  </si>
  <si>
    <t xml:space="preserve">AI-native operating model — humans + agents</t>
  </si>
  <si>
    <t xml:space="preserve">Alternative to the baseline team on the Assumptions sheet. Edit blue cells. Compares people + agent cost and EBITDA against the baseline P&amp;L.</t>
  </si>
  <si>
    <t xml:space="preserve">Human role</t>
  </si>
  <si>
    <t xml:space="preserve">Y1 FTE</t>
  </si>
  <si>
    <t xml:space="preserve">Y2 FTE</t>
  </si>
  <si>
    <t xml:space="preserve">Y3 FTE</t>
  </si>
  <si>
    <t xml:space="preserve">Supervises agents</t>
  </si>
  <si>
    <t xml:space="preserve">What stays human</t>
  </si>
  <si>
    <t xml:space="preserve">Content Studio, Curriculum</t>
  </si>
  <si>
    <t xml:space="preserve">Teaching flagship cohorts, founder voice, key enterprise relationships</t>
  </si>
  <si>
    <t xml:space="preserve">Finance &amp; Admin</t>
  </si>
  <si>
    <t xml:space="preserve">P&amp;L decisions, hiring, partner negotiations</t>
  </si>
  <si>
    <t xml:space="preserve">Head of AI Operations (first hire)</t>
  </si>
  <si>
    <t xml:space="preserve">Cohort Ops, Concierge, Scout</t>
  </si>
  <si>
    <t xml:space="preserve">Designs workflows, owns agent quality, handles escalations</t>
  </si>
  <si>
    <t xml:space="preserve">Community lead / associate</t>
  </si>
  <si>
    <t xml:space="preserve">Community Pulse</t>
  </si>
  <si>
    <t xml:space="preserve">Hosting events, welcome calls, churn-save conversations</t>
  </si>
  <si>
    <t xml:space="preserve">Creative &amp; content lead / producer</t>
  </si>
  <si>
    <t xml:space="preserve">Content Studio, Studios Production</t>
  </si>
  <si>
    <t xml:space="preserve">Creative direction, on-camera production, brand taste</t>
  </si>
  <si>
    <t xml:space="preserve">B2B &amp; partnerships</t>
  </si>
  <si>
    <t xml:space="preserve">Deal Desk</t>
  </si>
  <si>
    <t xml:space="preserve">Discovery calls, negotiation, sponsor relationships, renewals</t>
  </si>
  <si>
    <t xml:space="preserve">AI automation engineer</t>
  </si>
  <si>
    <t xml:space="preserve">All (builds and evaluates)</t>
  </si>
  <si>
    <t xml:space="preserve">Agent build, integrations, evals, cost control</t>
  </si>
  <si>
    <t xml:space="preserve">Certified facilitators</t>
  </si>
  <si>
    <t xml:space="preserve">Coach / TA, Proof</t>
  </si>
  <si>
    <t xml:space="preserve">Live teaching, feedback, certification decisions</t>
  </si>
  <si>
    <t xml:space="preserve">Studios lead</t>
  </si>
  <si>
    <t xml:space="preserve">Studios Production</t>
  </si>
  <si>
    <t xml:space="preserve">Client relationships, creative sign-off</t>
  </si>
  <si>
    <t xml:space="preserve">CapabilityOS product &amp; growth lead</t>
  </si>
  <si>
    <t xml:space="preserve">CapabilityOS Coach</t>
  </si>
  <si>
    <t xml:space="preserve">Curriculum roadmap, live Q&amp;A, subscriber retention and growth</t>
  </si>
  <si>
    <t xml:space="preserve">Human FTE</t>
  </si>
  <si>
    <t xml:space="preserve">Cost build ($)</t>
  </si>
  <si>
    <t xml:space="preserve">Human payroll (loaded)</t>
  </si>
  <si>
    <t xml:space="preserve">AI agents: model usage, agent platforms, AI media tools</t>
  </si>
  <si>
    <t xml:space="preserve">Assumption. Incremental to 'Platform, tools &amp; hosting' on the P&amp;L</t>
  </si>
  <si>
    <t xml:space="preserve">Freelancers: video editing, design, bookkeeping, legal</t>
  </si>
  <si>
    <t xml:space="preserve">Assumption. Human specialists on demand</t>
  </si>
  <si>
    <t xml:space="preserve">People + agents total</t>
  </si>
  <si>
    <t xml:space="preserve">Comparison to baseline</t>
  </si>
  <si>
    <t xml:space="preserve">Baseline team cost (P&amp;L)</t>
  </si>
  <si>
    <t xml:space="preserve">Conventional hiring plan, Assumptions sheet</t>
  </si>
  <si>
    <t xml:space="preserve">Baseline headcount</t>
  </si>
  <si>
    <t xml:space="preserve">Saving vs baseline (negative = costs more)</t>
  </si>
  <si>
    <t xml:space="preserve">Baseline EBITDA</t>
  </si>
  <si>
    <t xml:space="preserve">AI-native EBITDA</t>
  </si>
  <si>
    <t xml:space="preserve">AI-native EBITDA margin</t>
  </si>
  <si>
    <t xml:space="preserve">Deck targets: ~5% / ~22% / ~30%</t>
  </si>
  <si>
    <t xml:space="preserve">Revenue per human FTE</t>
  </si>
  <si>
    <t xml:space="preserve">Baseline revenue per FTE</t>
  </si>
  <si>
    <t xml:space="preserve">Facilitators as share of human FTE</t>
  </si>
  <si>
    <t xml:space="preserve">The human-touch core: teaching is where headcount should go</t>
  </si>
  <si>
    <t xml:space="preserve">Agent spend as share of people + agents</t>
  </si>
  <si>
    <t xml:space="preserve">Reading this sheet: the saving is modest because facilitators are deliberately kept human. The gain is fewer coordination roles, higher revenue per person, and faster response times.</t>
  </si>
  <si>
    <t xml:space="preserve">Unit economics &amp; operating KPIs</t>
  </si>
  <si>
    <t xml:space="preserve">KPI</t>
  </si>
  <si>
    <t xml:space="preserve">Deck target</t>
  </si>
  <si>
    <t xml:space="preserve">Status / note</t>
  </si>
  <si>
    <t xml:space="preserve">New paying customers (individual ladder)</t>
  </si>
  <si>
    <t xml:space="preserve">Packs + Academy + net-new Guild + cohort + exec seats + new CapabilityOS subscribers and packages (upper bound; ignores overlap)</t>
  </si>
  <si>
    <t xml:space="preserve">Blended CAC ($)</t>
  </si>
  <si>
    <t xml:space="preserve">LTV — 2-yr Guild member, gross margin basis ($)</t>
  </si>
  <si>
    <t xml:space="preserve">LTV : CAC</t>
  </si>
  <si>
    <t xml:space="preserve">Deck: 20% / 40% / &gt;55%</t>
  </si>
  <si>
    <t xml:space="preserve">Gross margin (blended)</t>
  </si>
  <si>
    <t xml:space="preserve">Deck: ~5% / ~22% / ~30%</t>
  </si>
  <si>
    <t xml:space="preserve">Guild members (year-end)</t>
  </si>
  <si>
    <t xml:space="preserve">Cohort graduates (cumulative)</t>
  </si>
  <si>
    <t xml:space="preserve">Assumes paid seats ≈ graduates</t>
  </si>
  <si>
    <t xml:space="preserve">B2B contracts</t>
  </si>
  <si>
    <t xml:space="preserve">Facilitator bench</t>
  </si>
  <si>
    <t xml:space="preserve">CapabilityOS paying subscribers in year</t>
  </si>
  <si>
    <t xml:space="preserve">New + renewing annual subscribers (capos.live)</t>
  </si>
  <si>
    <t xml:space="preserve">CapabilityOS share of revenue</t>
  </si>
  <si>
    <t xml:space="preserve">Guild MRR at year-end ($)</t>
  </si>
  <si>
    <t xml:space="preserve">Guild members per community manager</t>
  </si>
  <si>
    <t xml:space="preserve">Rule of thumb: keep below ~1,500 for a high-touch community</t>
  </si>
  <si>
    <t xml:space="preserve">Implied valuation ($)</t>
  </si>
  <si>
    <t xml:space="preserve">Method</t>
  </si>
  <si>
    <t xml:space="preserve">Basis</t>
  </si>
  <si>
    <t xml:space="preserve">Base: EV/Sales × revenue</t>
  </si>
  <si>
    <t xml:space="preserve">3.5× EdTech median (deck headline)</t>
  </si>
  <si>
    <t xml:space="preserve">Downside: revenue multiple</t>
  </si>
  <si>
    <t xml:space="preserve">1.6× Q4 2024 EdTech median</t>
  </si>
  <si>
    <t xml:space="preserve">Cross-check: EV/EBITDA × EBITDA</t>
  </si>
  <si>
    <t xml:space="preserve">18× EdTech EV/EBITDA</t>
  </si>
  <si>
    <t xml:space="preserve">Note: multiples are cited benchmarks, not a valuation opinion. A buyer will discount for founder dependency until founder-touch revenue is &lt;30%.</t>
  </si>
  <si>
    <t xml:space="preserve">Use of funds — proposed $2.5M raise</t>
  </si>
  <si>
    <t xml:space="preserve">Category</t>
  </si>
  <si>
    <t xml:space="preserve">Share</t>
  </si>
  <si>
    <t xml:space="preserve">Amount ($)</t>
  </si>
  <si>
    <t xml:space="preserve">What it buys</t>
  </si>
  <si>
    <t xml:space="preserve">YouTube/LinkedIn production, paid ads, monthly free live workshop</t>
  </si>
  <si>
    <t xml:space="preserve">Product &amp; curriculum build</t>
  </si>
  <si>
    <t xml:space="preserve">Record Academy, Certification curriculum, Scorecard, playbooks</t>
  </si>
  <si>
    <t xml:space="preserve">Facilitator &amp; team bench</t>
  </si>
  <si>
    <t xml:space="preserve">Recruit, certify and license 8 facilitators; GM hire</t>
  </si>
  <si>
    <t xml:space="preserve">Enterprise sales lead, white-label partner channel</t>
  </si>
  <si>
    <t xml:space="preserve">Brand &amp; merchandise</t>
  </si>
  <si>
    <t xml:space="preserve">Brand system across four properties; certification drops</t>
  </si>
  <si>
    <t xml:space="preserve">Total</t>
  </si>
  <si>
    <t xml:space="preserve">Model vs investor-deck targets</t>
  </si>
  <si>
    <t xml:space="preserve">Metric</t>
  </si>
  <si>
    <t xml:space="preserve">Deck Y1</t>
  </si>
  <si>
    <t xml:space="preserve">Model Y1</t>
  </si>
  <si>
    <t xml:space="preserve">Deck Y2</t>
  </si>
  <si>
    <t xml:space="preserve">Model Y2</t>
  </si>
  <si>
    <t xml:space="preserve">Deck Y3</t>
  </si>
  <si>
    <t xml:space="preserve">Model Y3</t>
  </si>
  <si>
    <t xml:space="preserve">Y3 variance</t>
  </si>
  <si>
    <t xml:space="preserve">Revenue ($)</t>
  </si>
  <si>
    <t xml:space="preserve">Revenue excl. CapabilityOS ($)</t>
  </si>
  <si>
    <t xml:space="preserve">Guild members</t>
  </si>
  <si>
    <t xml:space="preserve">Implied valuation @3.5× ($)</t>
  </si>
  <si>
    <t xml:space="preserve">Deck figures: WeekendAI Labs investor deck, slide 17 (user-supplied). The deck predates CapabilityOS, so total revenue now runs above it; the excl. CapabilityOS row matches the deck. Founder-touch revenue (70% / 45% / &lt;30%) is tracked operationally, not modelled.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</si>
</sst>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0"/>
    <numFmt numFmtId="169" formatCode="0.0\x"/>
    <numFmt numFmtId="170" formatCode="0.0"/>
    <numFmt numFmtId="171" formatCode="#,##0.0;\(#,##0.0\);\-"/>
    <numFmt numFmtId="172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724"/>
        <bgColor rgb="FF333300"/>
      </patternFill>
    </fill>
    <fill>
      <patternFill patternType="solid">
        <fgColor rgb="FFF4EFE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4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6" t="s">
        <v>15</v>
      </c>
    </row>
    <row r="3" customFormat="false" ht="15" hidden="false" customHeight="false" outlineLevel="0" collapsed="false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</row>
    <row r="4" customFormat="false" ht="15" hidden="false" customHeight="false" outlineLevel="0" collapsed="false">
      <c r="A4" s="9" t="s">
        <v>22</v>
      </c>
      <c r="B4" s="10"/>
      <c r="C4" s="10"/>
      <c r="D4" s="10"/>
      <c r="E4" s="11" t="n">
        <v>0.9</v>
      </c>
      <c r="F4" s="12" t="s">
        <v>23</v>
      </c>
    </row>
    <row r="5" customFormat="false" ht="15" hidden="false" customHeight="false" outlineLevel="0" collapsed="false">
      <c r="A5" s="5" t="s">
        <v>24</v>
      </c>
      <c r="B5" s="13" t="n">
        <v>1200</v>
      </c>
      <c r="C5" s="13" t="n">
        <v>4500</v>
      </c>
      <c r="D5" s="13" t="n">
        <v>9000</v>
      </c>
    </row>
    <row r="6" customFormat="false" ht="15" hidden="false" customHeight="false" outlineLevel="0" collapsed="false">
      <c r="A6" s="5" t="s">
        <v>25</v>
      </c>
      <c r="B6" s="14" t="n">
        <v>110</v>
      </c>
      <c r="C6" s="14" t="n">
        <v>110</v>
      </c>
      <c r="D6" s="14" t="n">
        <v>110</v>
      </c>
    </row>
    <row r="7" customFormat="false" ht="15" hidden="false" customHeight="false" outlineLevel="0" collapsed="false">
      <c r="A7" s="9" t="s">
        <v>26</v>
      </c>
      <c r="B7" s="10"/>
      <c r="C7" s="10"/>
      <c r="D7" s="10"/>
      <c r="E7" s="11" t="n">
        <v>0.9</v>
      </c>
      <c r="F7" s="12" t="s">
        <v>27</v>
      </c>
    </row>
    <row r="8" customFormat="false" ht="15" hidden="false" customHeight="false" outlineLevel="0" collapsed="false">
      <c r="A8" s="5" t="s">
        <v>28</v>
      </c>
      <c r="B8" s="15" t="n">
        <v>500</v>
      </c>
      <c r="C8" s="15" t="n">
        <v>2000</v>
      </c>
      <c r="D8" s="15" t="n">
        <v>5000</v>
      </c>
    </row>
    <row r="9" customFormat="false" ht="15" hidden="false" customHeight="false" outlineLevel="0" collapsed="false">
      <c r="A9" s="5" t="s">
        <v>29</v>
      </c>
      <c r="B9" s="14" t="n">
        <v>497</v>
      </c>
      <c r="C9" s="14" t="n">
        <v>497</v>
      </c>
      <c r="D9" s="14" t="n">
        <v>497</v>
      </c>
    </row>
    <row r="10" customFormat="false" ht="15" hidden="false" customHeight="false" outlineLevel="0" collapsed="false">
      <c r="A10" s="9" t="s">
        <v>30</v>
      </c>
      <c r="B10" s="10"/>
      <c r="C10" s="10"/>
      <c r="D10" s="10"/>
      <c r="E10" s="11" t="n">
        <v>0.85</v>
      </c>
      <c r="F10" s="12" t="s">
        <v>31</v>
      </c>
    </row>
    <row r="11" customFormat="false" ht="15" hidden="false" customHeight="false" outlineLevel="0" collapsed="false">
      <c r="A11" s="5" t="s">
        <v>32</v>
      </c>
      <c r="B11" s="15" t="n">
        <v>600</v>
      </c>
      <c r="C11" s="15" t="n">
        <v>1800</v>
      </c>
      <c r="D11" s="15" t="n">
        <v>3800</v>
      </c>
    </row>
    <row r="12" customFormat="false" ht="15" hidden="false" customHeight="false" outlineLevel="0" collapsed="false">
      <c r="A12" s="5" t="s">
        <v>33</v>
      </c>
      <c r="B12" s="14" t="n">
        <v>79</v>
      </c>
      <c r="C12" s="14" t="n">
        <v>79</v>
      </c>
      <c r="D12" s="14" t="n">
        <v>79</v>
      </c>
    </row>
    <row r="13" customFormat="false" ht="15" hidden="false" customHeight="false" outlineLevel="0" collapsed="false">
      <c r="A13" s="9" t="s">
        <v>34</v>
      </c>
      <c r="B13" s="10"/>
      <c r="C13" s="10"/>
      <c r="D13" s="10"/>
      <c r="E13" s="11" t="n">
        <v>0.7</v>
      </c>
      <c r="F13" s="12" t="s">
        <v>35</v>
      </c>
    </row>
    <row r="14" customFormat="false" ht="15" hidden="false" customHeight="false" outlineLevel="0" collapsed="false">
      <c r="A14" s="5" t="s">
        <v>36</v>
      </c>
      <c r="B14" s="15" t="n">
        <v>250</v>
      </c>
      <c r="C14" s="15" t="n">
        <v>600</v>
      </c>
      <c r="D14" s="15" t="n">
        <v>983</v>
      </c>
    </row>
    <row r="15" customFormat="false" ht="15" hidden="false" customHeight="false" outlineLevel="0" collapsed="false">
      <c r="A15" s="5" t="s">
        <v>29</v>
      </c>
      <c r="B15" s="14" t="n">
        <v>2500</v>
      </c>
      <c r="C15" s="14" t="n">
        <v>2500</v>
      </c>
      <c r="D15" s="14" t="n">
        <v>2500</v>
      </c>
    </row>
    <row r="16" customFormat="false" ht="15" hidden="false" customHeight="false" outlineLevel="0" collapsed="false">
      <c r="A16" s="9" t="s">
        <v>37</v>
      </c>
      <c r="B16" s="10"/>
      <c r="C16" s="10"/>
      <c r="D16" s="10"/>
      <c r="E16" s="11" t="n">
        <v>0.65</v>
      </c>
      <c r="F16" s="12" t="s">
        <v>38</v>
      </c>
    </row>
    <row r="17" customFormat="false" ht="15" hidden="false" customHeight="false" outlineLevel="0" collapsed="false">
      <c r="A17" s="5" t="s">
        <v>39</v>
      </c>
      <c r="B17" s="13" t="n">
        <v>15</v>
      </c>
      <c r="C17" s="13" t="n">
        <v>60</v>
      </c>
      <c r="D17" s="13" t="n">
        <v>175</v>
      </c>
    </row>
    <row r="18" customFormat="false" ht="15" hidden="false" customHeight="false" outlineLevel="0" collapsed="false">
      <c r="A18" s="5" t="s">
        <v>29</v>
      </c>
      <c r="B18" s="14" t="n">
        <v>6000</v>
      </c>
      <c r="C18" s="14" t="n">
        <v>6000</v>
      </c>
      <c r="D18" s="14" t="n">
        <v>6000</v>
      </c>
    </row>
    <row r="19" customFormat="false" ht="15" hidden="false" customHeight="false" outlineLevel="0" collapsed="false">
      <c r="A19" s="9" t="s">
        <v>40</v>
      </c>
      <c r="B19" s="10"/>
      <c r="C19" s="10"/>
      <c r="D19" s="10"/>
      <c r="E19" s="11" t="n">
        <v>0.6</v>
      </c>
      <c r="F19" s="12" t="s">
        <v>41</v>
      </c>
    </row>
    <row r="20" customFormat="false" ht="15" hidden="false" customHeight="false" outlineLevel="0" collapsed="false">
      <c r="A20" s="5" t="s">
        <v>42</v>
      </c>
      <c r="B20" s="15" t="n">
        <v>4</v>
      </c>
      <c r="C20" s="15" t="n">
        <v>15</v>
      </c>
      <c r="D20" s="15" t="n">
        <v>30</v>
      </c>
    </row>
    <row r="21" customFormat="false" ht="15" hidden="false" customHeight="false" outlineLevel="0" collapsed="false">
      <c r="A21" s="5" t="s">
        <v>43</v>
      </c>
      <c r="B21" s="14" t="n">
        <v>40000</v>
      </c>
      <c r="C21" s="14" t="n">
        <v>50000</v>
      </c>
      <c r="D21" s="14" t="n">
        <v>80000</v>
      </c>
    </row>
    <row r="22" customFormat="false" ht="15" hidden="false" customHeight="false" outlineLevel="0" collapsed="false">
      <c r="A22" s="9" t="s">
        <v>44</v>
      </c>
      <c r="B22" s="10"/>
      <c r="C22" s="10"/>
      <c r="D22" s="10"/>
      <c r="E22" s="11" t="n">
        <v>0.6</v>
      </c>
      <c r="F22" s="12" t="s">
        <v>45</v>
      </c>
    </row>
    <row r="23" customFormat="false" ht="15" hidden="false" customHeight="false" outlineLevel="0" collapsed="false">
      <c r="A23" s="5" t="s">
        <v>46</v>
      </c>
      <c r="B23" s="13" t="n">
        <v>6</v>
      </c>
      <c r="C23" s="13" t="n">
        <v>15</v>
      </c>
      <c r="D23" s="13" t="n">
        <v>30</v>
      </c>
    </row>
    <row r="24" customFormat="false" ht="15" hidden="false" customHeight="false" outlineLevel="0" collapsed="false">
      <c r="A24" s="5" t="s">
        <v>47</v>
      </c>
      <c r="B24" s="14" t="n">
        <v>10000</v>
      </c>
      <c r="C24" s="14" t="n">
        <v>12000</v>
      </c>
      <c r="D24" s="14" t="n">
        <v>14000</v>
      </c>
    </row>
    <row r="25" customFormat="false" ht="15" hidden="false" customHeight="false" outlineLevel="0" collapsed="false">
      <c r="A25" s="9" t="s">
        <v>48</v>
      </c>
      <c r="B25" s="10"/>
      <c r="C25" s="10"/>
      <c r="D25" s="10"/>
      <c r="E25" s="11" t="n">
        <v>0.5</v>
      </c>
      <c r="F25" s="12" t="s">
        <v>45</v>
      </c>
    </row>
    <row r="26" customFormat="false" ht="15" hidden="false" customHeight="false" outlineLevel="0" collapsed="false">
      <c r="A26" s="5" t="s">
        <v>49</v>
      </c>
      <c r="B26" s="13" t="n">
        <v>8</v>
      </c>
      <c r="C26" s="13" t="n">
        <v>20</v>
      </c>
      <c r="D26" s="13" t="n">
        <v>35</v>
      </c>
    </row>
    <row r="27" customFormat="false" ht="15" hidden="false" customHeight="false" outlineLevel="0" collapsed="false">
      <c r="A27" s="5" t="s">
        <v>47</v>
      </c>
      <c r="B27" s="14" t="n">
        <v>8000</v>
      </c>
      <c r="C27" s="14" t="n">
        <v>9000</v>
      </c>
      <c r="D27" s="14" t="n">
        <v>10000</v>
      </c>
    </row>
    <row r="28" customFormat="false" ht="15" hidden="false" customHeight="false" outlineLevel="0" collapsed="false">
      <c r="A28" s="9" t="s">
        <v>50</v>
      </c>
      <c r="B28" s="10"/>
      <c r="C28" s="10"/>
      <c r="D28" s="10"/>
      <c r="E28" s="11" t="n">
        <v>0.55</v>
      </c>
      <c r="F28" s="12" t="s">
        <v>51</v>
      </c>
    </row>
    <row r="29" customFormat="false" ht="15" hidden="false" customHeight="false" outlineLevel="0" collapsed="false">
      <c r="A29" s="5" t="s">
        <v>52</v>
      </c>
      <c r="B29" s="13" t="n">
        <v>2</v>
      </c>
      <c r="C29" s="13" t="n">
        <v>6</v>
      </c>
      <c r="D29" s="13" t="n">
        <v>12</v>
      </c>
    </row>
    <row r="30" customFormat="false" ht="15" hidden="false" customHeight="false" outlineLevel="0" collapsed="false">
      <c r="A30" s="5" t="s">
        <v>53</v>
      </c>
      <c r="B30" s="14" t="n">
        <v>3000</v>
      </c>
      <c r="C30" s="14" t="n">
        <v>3500</v>
      </c>
      <c r="D30" s="14" t="n">
        <v>4000</v>
      </c>
    </row>
    <row r="31" customFormat="false" ht="15" hidden="false" customHeight="false" outlineLevel="0" collapsed="false">
      <c r="A31" s="9" t="s">
        <v>54</v>
      </c>
      <c r="B31" s="10"/>
      <c r="C31" s="10"/>
      <c r="D31" s="10"/>
      <c r="E31" s="11" t="n">
        <v>0.9</v>
      </c>
      <c r="F31" s="12" t="s">
        <v>45</v>
      </c>
    </row>
    <row r="32" customFormat="false" ht="15" hidden="false" customHeight="false" outlineLevel="0" collapsed="false">
      <c r="A32" s="5" t="s">
        <v>55</v>
      </c>
      <c r="B32" s="13" t="n">
        <v>20</v>
      </c>
      <c r="C32" s="13" t="n">
        <v>60</v>
      </c>
      <c r="D32" s="13" t="n">
        <v>160</v>
      </c>
    </row>
    <row r="33" customFormat="false" ht="15" hidden="false" customHeight="false" outlineLevel="0" collapsed="false">
      <c r="A33" s="5" t="s">
        <v>56</v>
      </c>
      <c r="B33" s="14" t="n">
        <v>1000</v>
      </c>
      <c r="C33" s="14" t="n">
        <v>1667</v>
      </c>
      <c r="D33" s="14" t="n">
        <v>2500</v>
      </c>
    </row>
    <row r="34" customFormat="false" ht="15" hidden="false" customHeight="false" outlineLevel="0" collapsed="false">
      <c r="A34" s="9" t="s">
        <v>57</v>
      </c>
      <c r="B34" s="10"/>
      <c r="C34" s="10"/>
      <c r="D34" s="10"/>
      <c r="E34" s="11" t="n">
        <v>0.85</v>
      </c>
      <c r="F34" s="12" t="s">
        <v>58</v>
      </c>
    </row>
    <row r="35" customFormat="false" ht="15" hidden="false" customHeight="false" outlineLevel="0" collapsed="false">
      <c r="A35" s="5" t="s">
        <v>59</v>
      </c>
      <c r="B35" s="13" t="n">
        <v>3</v>
      </c>
      <c r="C35" s="13" t="n">
        <v>9</v>
      </c>
      <c r="D35" s="13" t="n">
        <v>20</v>
      </c>
    </row>
    <row r="36" customFormat="false" ht="15" hidden="false" customHeight="false" outlineLevel="0" collapsed="false">
      <c r="A36" s="5" t="s">
        <v>60</v>
      </c>
      <c r="B36" s="14" t="n">
        <v>10000</v>
      </c>
      <c r="C36" s="14" t="n">
        <v>20000</v>
      </c>
      <c r="D36" s="14" t="n">
        <v>25000</v>
      </c>
    </row>
    <row r="37" customFormat="false" ht="15" hidden="false" customHeight="false" outlineLevel="0" collapsed="false">
      <c r="A37" s="9" t="s">
        <v>61</v>
      </c>
      <c r="B37" s="10"/>
      <c r="C37" s="10"/>
      <c r="D37" s="10"/>
      <c r="E37" s="11" t="n">
        <v>0.7</v>
      </c>
      <c r="F37" s="12" t="s">
        <v>62</v>
      </c>
    </row>
    <row r="38" customFormat="false" ht="15" hidden="false" customHeight="false" outlineLevel="0" collapsed="false">
      <c r="A38" s="5" t="s">
        <v>63</v>
      </c>
      <c r="B38" s="13" t="n">
        <v>1</v>
      </c>
      <c r="C38" s="13" t="n">
        <v>1</v>
      </c>
      <c r="D38" s="13" t="n">
        <v>1</v>
      </c>
    </row>
    <row r="39" customFormat="false" ht="15" hidden="false" customHeight="false" outlineLevel="0" collapsed="false">
      <c r="A39" s="5" t="s">
        <v>64</v>
      </c>
      <c r="B39" s="14" t="n">
        <v>12000</v>
      </c>
      <c r="C39" s="14" t="n">
        <v>30000</v>
      </c>
      <c r="D39" s="14" t="n">
        <v>60000</v>
      </c>
    </row>
    <row r="40" customFormat="false" ht="15" hidden="false" customHeight="false" outlineLevel="0" collapsed="false">
      <c r="A40" s="9" t="s">
        <v>65</v>
      </c>
      <c r="B40" s="10"/>
      <c r="C40" s="10"/>
      <c r="D40" s="10"/>
      <c r="E40" s="11" t="n">
        <v>0.6</v>
      </c>
      <c r="F40" s="12" t="s">
        <v>66</v>
      </c>
    </row>
    <row r="41" customFormat="false" ht="15" hidden="false" customHeight="false" outlineLevel="0" collapsed="false">
      <c r="A41" s="5" t="s">
        <v>67</v>
      </c>
      <c r="B41" s="13" t="n">
        <v>250</v>
      </c>
      <c r="C41" s="13" t="n">
        <v>1200</v>
      </c>
      <c r="D41" s="13" t="n">
        <v>4000</v>
      </c>
    </row>
    <row r="42" customFormat="false" ht="15" hidden="false" customHeight="false" outlineLevel="0" collapsed="false">
      <c r="A42" s="5" t="s">
        <v>68</v>
      </c>
      <c r="B42" s="14" t="n">
        <v>40</v>
      </c>
      <c r="C42" s="14" t="n">
        <v>50</v>
      </c>
      <c r="D42" s="14" t="n">
        <v>62.5</v>
      </c>
    </row>
    <row r="43" customFormat="false" ht="15" hidden="false" customHeight="false" outlineLevel="0" collapsed="false">
      <c r="A43" s="9" t="s">
        <v>69</v>
      </c>
      <c r="B43" s="10"/>
      <c r="C43" s="10"/>
      <c r="D43" s="10"/>
      <c r="E43" s="11" t="n">
        <v>0.8</v>
      </c>
      <c r="F43" s="12" t="s">
        <v>70</v>
      </c>
    </row>
    <row r="44" customFormat="false" ht="15" hidden="false" customHeight="false" outlineLevel="0" collapsed="false">
      <c r="A44" s="5" t="s">
        <v>71</v>
      </c>
      <c r="B44" s="13" t="n">
        <v>300</v>
      </c>
      <c r="C44" s="13" t="n">
        <v>1200</v>
      </c>
      <c r="D44" s="13" t="n">
        <v>3000</v>
      </c>
    </row>
    <row r="45" customFormat="false" ht="15" hidden="false" customHeight="false" outlineLevel="0" collapsed="false">
      <c r="A45" s="5" t="s">
        <v>72</v>
      </c>
      <c r="B45" s="14" t="n">
        <v>650</v>
      </c>
      <c r="C45" s="14" t="n">
        <v>650</v>
      </c>
      <c r="D45" s="14" t="n">
        <v>650</v>
      </c>
    </row>
    <row r="46" customFormat="false" ht="15" hidden="false" customHeight="false" outlineLevel="0" collapsed="false">
      <c r="A46" s="9" t="s">
        <v>73</v>
      </c>
      <c r="B46" s="10"/>
      <c r="C46" s="10"/>
      <c r="D46" s="10"/>
      <c r="E46" s="11" t="n">
        <v>0.85</v>
      </c>
      <c r="F46" s="12" t="s">
        <v>74</v>
      </c>
    </row>
    <row r="47" customFormat="false" ht="15" hidden="false" customHeight="false" outlineLevel="0" collapsed="false">
      <c r="A47" s="5" t="s">
        <v>75</v>
      </c>
      <c r="B47" s="13" t="n">
        <v>200</v>
      </c>
      <c r="C47" s="13" t="n">
        <v>800</v>
      </c>
      <c r="D47" s="13" t="n">
        <v>2000</v>
      </c>
    </row>
    <row r="48" customFormat="false" ht="15" hidden="false" customHeight="false" outlineLevel="0" collapsed="false">
      <c r="A48" s="5" t="s">
        <v>29</v>
      </c>
      <c r="B48" s="14" t="n">
        <v>199</v>
      </c>
      <c r="C48" s="14" t="n">
        <v>199</v>
      </c>
      <c r="D48" s="14" t="n">
        <v>199</v>
      </c>
    </row>
    <row r="50" customFormat="false" ht="15" hidden="false" customHeight="false" outlineLevel="0" collapsed="false">
      <c r="A50" s="4" t="s">
        <v>76</v>
      </c>
    </row>
    <row r="51" customFormat="false" ht="15" hidden="false" customHeight="false" outlineLevel="0" collapsed="false">
      <c r="A51" s="7" t="s">
        <v>77</v>
      </c>
      <c r="B51" s="8" t="s">
        <v>17</v>
      </c>
      <c r="C51" s="8" t="s">
        <v>18</v>
      </c>
      <c r="D51" s="8" t="s">
        <v>19</v>
      </c>
      <c r="E51" s="8"/>
      <c r="F51" s="8" t="s">
        <v>21</v>
      </c>
    </row>
    <row r="52" customFormat="false" ht="15" hidden="false" customHeight="false" outlineLevel="0" collapsed="false">
      <c r="A52" s="16" t="s">
        <v>78</v>
      </c>
      <c r="B52" s="17" t="n">
        <v>0.35</v>
      </c>
      <c r="C52" s="17" t="n">
        <v>0.24</v>
      </c>
      <c r="D52" s="17" t="n">
        <v>0.21</v>
      </c>
      <c r="F52" s="18" t="s">
        <v>79</v>
      </c>
    </row>
    <row r="53" customFormat="false" ht="15" hidden="false" customHeight="false" outlineLevel="0" collapsed="false">
      <c r="A53" s="16" t="s">
        <v>80</v>
      </c>
      <c r="B53" s="17" t="n">
        <v>0.04</v>
      </c>
      <c r="C53" s="17" t="n">
        <v>0.03</v>
      </c>
      <c r="D53" s="17" t="n">
        <v>0.025</v>
      </c>
      <c r="F53" s="18" t="s">
        <v>81</v>
      </c>
    </row>
    <row r="54" customFormat="false" ht="15" hidden="false" customHeight="false" outlineLevel="0" collapsed="false">
      <c r="A54" s="16" t="s">
        <v>82</v>
      </c>
      <c r="B54" s="17" t="n">
        <v>0.05</v>
      </c>
      <c r="C54" s="17" t="n">
        <v>0.04</v>
      </c>
      <c r="D54" s="17" t="n">
        <v>0.035</v>
      </c>
      <c r="F54" s="18" t="s">
        <v>45</v>
      </c>
    </row>
    <row r="55" customFormat="false" ht="15" hidden="false" customHeight="false" outlineLevel="0" collapsed="false">
      <c r="A55" s="16" t="s">
        <v>83</v>
      </c>
      <c r="B55" s="17" t="n">
        <v>0.06</v>
      </c>
      <c r="C55" s="17" t="n">
        <v>0.06</v>
      </c>
      <c r="D55" s="17" t="n">
        <v>0.06</v>
      </c>
      <c r="F55" s="18" t="s">
        <v>84</v>
      </c>
    </row>
    <row r="56" customFormat="false" ht="15" hidden="false" customHeight="false" outlineLevel="0" collapsed="false">
      <c r="A56" s="16" t="s">
        <v>85</v>
      </c>
      <c r="B56" s="17" t="n">
        <v>0.5</v>
      </c>
      <c r="C56" s="17" t="n">
        <v>0.5</v>
      </c>
      <c r="D56" s="17" t="n">
        <v>0.5</v>
      </c>
      <c r="F56" s="18" t="s">
        <v>86</v>
      </c>
    </row>
    <row r="57" customFormat="false" ht="15" hidden="false" customHeight="false" outlineLevel="0" collapsed="false">
      <c r="A57" s="16" t="s">
        <v>87</v>
      </c>
      <c r="B57" s="17" t="n">
        <v>0.5</v>
      </c>
      <c r="C57" s="17" t="n">
        <v>0.5</v>
      </c>
      <c r="D57" s="17" t="n">
        <v>0.5</v>
      </c>
      <c r="F57" s="18" t="s">
        <v>88</v>
      </c>
    </row>
    <row r="58" customFormat="false" ht="15" hidden="false" customHeight="false" outlineLevel="0" collapsed="false">
      <c r="A58" s="16" t="s">
        <v>89</v>
      </c>
      <c r="B58" s="19" t="n">
        <v>1</v>
      </c>
      <c r="C58" s="19" t="n">
        <v>1</v>
      </c>
      <c r="D58" s="19" t="n">
        <v>1</v>
      </c>
      <c r="F58" s="18" t="s">
        <v>90</v>
      </c>
    </row>
    <row r="60" customFormat="false" ht="15" hidden="false" customHeight="false" outlineLevel="0" collapsed="false">
      <c r="A60" s="4" t="s">
        <v>91</v>
      </c>
    </row>
    <row r="61" customFormat="false" ht="15" hidden="false" customHeight="false" outlineLevel="0" collapsed="false">
      <c r="A61" s="7" t="s">
        <v>92</v>
      </c>
      <c r="B61" s="8" t="s">
        <v>17</v>
      </c>
      <c r="C61" s="8" t="s">
        <v>18</v>
      </c>
      <c r="D61" s="8" t="s">
        <v>19</v>
      </c>
      <c r="E61" s="8" t="s">
        <v>93</v>
      </c>
      <c r="F61" s="8" t="s">
        <v>94</v>
      </c>
    </row>
    <row r="62" customFormat="false" ht="15" hidden="false" customHeight="false" outlineLevel="0" collapsed="false">
      <c r="A62" s="16" t="s">
        <v>95</v>
      </c>
      <c r="B62" s="20" t="n">
        <v>1</v>
      </c>
      <c r="C62" s="20" t="n">
        <v>1</v>
      </c>
      <c r="D62" s="20" t="n">
        <v>1</v>
      </c>
      <c r="E62" s="14" t="n">
        <v>150000</v>
      </c>
      <c r="F62" s="18" t="s">
        <v>96</v>
      </c>
    </row>
    <row r="63" customFormat="false" ht="15" hidden="false" customHeight="false" outlineLevel="0" collapsed="false">
      <c r="A63" s="16" t="s">
        <v>97</v>
      </c>
      <c r="B63" s="20" t="n">
        <v>0</v>
      </c>
      <c r="C63" s="20" t="n">
        <v>1</v>
      </c>
      <c r="D63" s="20" t="n">
        <v>1</v>
      </c>
      <c r="E63" s="14" t="n">
        <v>165000</v>
      </c>
      <c r="F63" s="18" t="s">
        <v>98</v>
      </c>
    </row>
    <row r="64" customFormat="false" ht="15" hidden="false" customHeight="false" outlineLevel="0" collapsed="false">
      <c r="A64" s="16" t="s">
        <v>99</v>
      </c>
      <c r="B64" s="20" t="n">
        <v>1</v>
      </c>
      <c r="C64" s="20" t="n">
        <v>2</v>
      </c>
      <c r="D64" s="20" t="n">
        <v>3</v>
      </c>
      <c r="E64" s="14" t="n">
        <v>70000</v>
      </c>
      <c r="F64" s="18" t="s">
        <v>100</v>
      </c>
    </row>
    <row r="65" customFormat="false" ht="15" hidden="false" customHeight="false" outlineLevel="0" collapsed="false">
      <c r="A65" s="16" t="s">
        <v>101</v>
      </c>
      <c r="B65" s="20" t="n">
        <v>1</v>
      </c>
      <c r="C65" s="20" t="n">
        <v>2</v>
      </c>
      <c r="D65" s="20" t="n">
        <v>3</v>
      </c>
      <c r="E65" s="14" t="n">
        <v>60000</v>
      </c>
      <c r="F65" s="18" t="s">
        <v>102</v>
      </c>
    </row>
    <row r="66" customFormat="false" ht="15" hidden="false" customHeight="false" outlineLevel="0" collapsed="false">
      <c r="A66" s="16" t="s">
        <v>103</v>
      </c>
      <c r="B66" s="20" t="n">
        <v>1</v>
      </c>
      <c r="C66" s="20" t="n">
        <v>2</v>
      </c>
      <c r="D66" s="20" t="n">
        <v>4</v>
      </c>
      <c r="E66" s="14" t="n">
        <v>60000</v>
      </c>
      <c r="F66" s="18" t="s">
        <v>104</v>
      </c>
    </row>
    <row r="67" customFormat="false" ht="15" hidden="false" customHeight="false" outlineLevel="0" collapsed="false">
      <c r="A67" s="16" t="s">
        <v>105</v>
      </c>
      <c r="B67" s="20" t="n">
        <v>1</v>
      </c>
      <c r="C67" s="20" t="n">
        <v>1</v>
      </c>
      <c r="D67" s="20" t="n">
        <v>2</v>
      </c>
      <c r="E67" s="14" t="n">
        <v>90000</v>
      </c>
      <c r="F67" s="18" t="s">
        <v>106</v>
      </c>
    </row>
    <row r="68" customFormat="false" ht="15" hidden="false" customHeight="false" outlineLevel="0" collapsed="false">
      <c r="A68" s="16" t="s">
        <v>107</v>
      </c>
      <c r="B68" s="20" t="n">
        <v>0</v>
      </c>
      <c r="C68" s="20" t="n">
        <v>2</v>
      </c>
      <c r="D68" s="20" t="n">
        <v>4</v>
      </c>
      <c r="E68" s="14" t="n">
        <v>90000</v>
      </c>
      <c r="F68" s="18" t="s">
        <v>108</v>
      </c>
    </row>
    <row r="69" customFormat="false" ht="15" hidden="false" customHeight="false" outlineLevel="0" collapsed="false">
      <c r="A69" s="16" t="s">
        <v>109</v>
      </c>
      <c r="B69" s="21" t="n">
        <v>0</v>
      </c>
      <c r="C69" s="21" t="n">
        <v>3</v>
      </c>
      <c r="D69" s="21" t="n">
        <v>8</v>
      </c>
      <c r="E69" s="14" t="n">
        <v>80000</v>
      </c>
      <c r="F69" s="18" t="s">
        <v>110</v>
      </c>
    </row>
    <row r="70" customFormat="false" ht="15" hidden="false" customHeight="false" outlineLevel="0" collapsed="false">
      <c r="A70" s="16" t="s">
        <v>111</v>
      </c>
      <c r="B70" s="20" t="n">
        <v>0</v>
      </c>
      <c r="C70" s="20" t="n">
        <v>1</v>
      </c>
      <c r="D70" s="20" t="n">
        <v>2</v>
      </c>
      <c r="E70" s="14" t="n">
        <v>100000</v>
      </c>
      <c r="F70" s="18" t="s">
        <v>112</v>
      </c>
    </row>
    <row r="72" customFormat="false" ht="15" hidden="false" customHeight="false" outlineLevel="0" collapsed="false">
      <c r="A72" s="4" t="s">
        <v>113</v>
      </c>
    </row>
    <row r="73" customFormat="false" ht="15" hidden="false" customHeight="false" outlineLevel="0" collapsed="false">
      <c r="A73" s="16" t="s">
        <v>114</v>
      </c>
      <c r="B73" s="14" t="n">
        <v>2500000</v>
      </c>
      <c r="F73" s="18" t="s">
        <v>115</v>
      </c>
    </row>
    <row r="74" customFormat="false" ht="15" hidden="false" customHeight="false" outlineLevel="0" collapsed="false">
      <c r="A74" s="16" t="s">
        <v>116</v>
      </c>
      <c r="B74" s="22" t="n">
        <v>3.5</v>
      </c>
      <c r="F74" s="18" t="s">
        <v>117</v>
      </c>
    </row>
    <row r="75" customFormat="false" ht="15" hidden="false" customHeight="false" outlineLevel="0" collapsed="false">
      <c r="A75" s="16" t="s">
        <v>118</v>
      </c>
      <c r="B75" s="22" t="n">
        <v>1.6</v>
      </c>
      <c r="F75" s="18" t="s">
        <v>119</v>
      </c>
    </row>
    <row r="76" customFormat="false" ht="15" hidden="false" customHeight="false" outlineLevel="0" collapsed="false">
      <c r="A76" s="16" t="s">
        <v>120</v>
      </c>
      <c r="B76" s="22" t="n">
        <v>18</v>
      </c>
      <c r="F76" s="18" t="s">
        <v>117</v>
      </c>
    </row>
    <row r="77" customFormat="false" ht="15" hidden="false" customHeight="false" outlineLevel="0" collapsed="false">
      <c r="A77" s="16" t="s">
        <v>121</v>
      </c>
      <c r="B77" s="23" t="n">
        <v>2</v>
      </c>
      <c r="F77" s="1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9" min="9" style="0" width="34"/>
    <col collapsed="false" customWidth="true" hidden="false" outlineLevel="0" max="12" min="10" style="0" width="13"/>
  </cols>
  <sheetData>
    <row r="1" customFormat="false" ht="17.35" hidden="false" customHeight="false" outlineLevel="0" collapsed="false">
      <c r="A1" s="6" t="s">
        <v>123</v>
      </c>
    </row>
    <row r="3" customFormat="false" ht="15" hidden="false" customHeight="false" outlineLevel="0" collapsed="false">
      <c r="A3" s="7" t="s">
        <v>124</v>
      </c>
      <c r="B3" s="8" t="s">
        <v>125</v>
      </c>
      <c r="C3" s="8" t="s">
        <v>126</v>
      </c>
      <c r="D3" s="8" t="s">
        <v>17</v>
      </c>
      <c r="E3" s="8" t="s">
        <v>18</v>
      </c>
      <c r="F3" s="8" t="s">
        <v>19</v>
      </c>
      <c r="G3" s="8" t="s">
        <v>127</v>
      </c>
      <c r="I3" s="7" t="s">
        <v>128</v>
      </c>
      <c r="J3" s="8" t="s">
        <v>17</v>
      </c>
      <c r="K3" s="8" t="s">
        <v>18</v>
      </c>
      <c r="L3" s="8" t="s">
        <v>19</v>
      </c>
    </row>
    <row r="4" customFormat="false" ht="15" hidden="false" customHeight="false" outlineLevel="0" collapsed="false">
      <c r="A4" s="16" t="s">
        <v>22</v>
      </c>
      <c r="B4" s="16" t="s">
        <v>129</v>
      </c>
      <c r="C4" s="16" t="s">
        <v>130</v>
      </c>
      <c r="D4" s="24" t="n">
        <f aca="false">Assumptions!$B$5*Assumptions!$B$6</f>
        <v>132000</v>
      </c>
      <c r="E4" s="24" t="n">
        <f aca="false">Assumptions!$C$5*Assumptions!$C$6</f>
        <v>495000</v>
      </c>
      <c r="F4" s="24" t="n">
        <f aca="false">Assumptions!$D$5*Assumptions!$D$6</f>
        <v>990000</v>
      </c>
      <c r="G4" s="20" t="s">
        <v>131</v>
      </c>
      <c r="I4" s="16" t="s">
        <v>132</v>
      </c>
      <c r="J4" s="25" t="n">
        <f aca="false">Assumptions!$B$44*Assumptions!$B$58</f>
        <v>300</v>
      </c>
      <c r="K4" s="25" t="n">
        <f aca="false">Assumptions!$C$44*Assumptions!$C$58</f>
        <v>1200</v>
      </c>
      <c r="L4" s="25" t="n">
        <f aca="false">Assumptions!$D$44*Assumptions!$D$58</f>
        <v>3000</v>
      </c>
    </row>
    <row r="5" customFormat="false" ht="15" hidden="false" customHeight="false" outlineLevel="0" collapsed="false">
      <c r="A5" s="16" t="s">
        <v>26</v>
      </c>
      <c r="B5" s="16" t="s">
        <v>129</v>
      </c>
      <c r="C5" s="16" t="s">
        <v>130</v>
      </c>
      <c r="D5" s="24" t="n">
        <f aca="false">Assumptions!$B$8*Assumptions!$B$9</f>
        <v>248500</v>
      </c>
      <c r="E5" s="24" t="n">
        <f aca="false">Assumptions!$C$8*Assumptions!$C$9</f>
        <v>994000</v>
      </c>
      <c r="F5" s="24" t="n">
        <f aca="false">Assumptions!$D$8*Assumptions!$D$9</f>
        <v>2485000</v>
      </c>
      <c r="G5" s="20" t="s">
        <v>131</v>
      </c>
      <c r="I5" s="16" t="s">
        <v>133</v>
      </c>
      <c r="J5" s="26" t="n">
        <v>0</v>
      </c>
      <c r="K5" s="26" t="n">
        <f aca="false">Assumptions!$C$56*(J4+J5)</f>
        <v>150</v>
      </c>
      <c r="L5" s="26" t="n">
        <f aca="false">Assumptions!$D$56*(K4+K5)</f>
        <v>675</v>
      </c>
    </row>
    <row r="6" customFormat="false" ht="15" hidden="false" customHeight="false" outlineLevel="0" collapsed="false">
      <c r="A6" s="16" t="s">
        <v>30</v>
      </c>
      <c r="B6" s="16" t="s">
        <v>134</v>
      </c>
      <c r="C6" s="16" t="s">
        <v>135</v>
      </c>
      <c r="D6" s="24" t="n">
        <f aca="false">((0)+Assumptions!$B$11)/2*Assumptions!$B$12*12</f>
        <v>284400</v>
      </c>
      <c r="E6" s="24" t="n">
        <f aca="false">((Assumptions!$B$11)+Assumptions!$C$11)/2*Assumptions!$C$12*12</f>
        <v>1137600</v>
      </c>
      <c r="F6" s="24" t="n">
        <f aca="false">((Assumptions!$C$11)+Assumptions!$D$11)/2*Assumptions!$D$12*12</f>
        <v>2654400</v>
      </c>
      <c r="G6" s="20" t="s">
        <v>136</v>
      </c>
      <c r="I6" s="16" t="s">
        <v>137</v>
      </c>
      <c r="J6" s="26" t="n">
        <f aca="false">J4+J5</f>
        <v>300</v>
      </c>
      <c r="K6" s="26" t="n">
        <f aca="false">K4+K5</f>
        <v>1350</v>
      </c>
      <c r="L6" s="26" t="n">
        <f aca="false">L4+L5</f>
        <v>3675</v>
      </c>
    </row>
    <row r="7" customFormat="false" ht="15" hidden="false" customHeight="false" outlineLevel="0" collapsed="false">
      <c r="A7" s="16" t="s">
        <v>34</v>
      </c>
      <c r="B7" s="16" t="s">
        <v>138</v>
      </c>
      <c r="C7" s="16" t="s">
        <v>130</v>
      </c>
      <c r="D7" s="24" t="n">
        <f aca="false">Assumptions!$B$14*Assumptions!$B$15</f>
        <v>625000</v>
      </c>
      <c r="E7" s="24" t="n">
        <f aca="false">Assumptions!$C$14*Assumptions!$C$15</f>
        <v>1500000</v>
      </c>
      <c r="F7" s="24" t="n">
        <f aca="false">Assumptions!$D$14*Assumptions!$D$15</f>
        <v>2457500</v>
      </c>
      <c r="G7" s="20" t="s">
        <v>131</v>
      </c>
      <c r="I7" s="18" t="s">
        <v>139</v>
      </c>
    </row>
    <row r="8" customFormat="false" ht="15" hidden="false" customHeight="false" outlineLevel="0" collapsed="false">
      <c r="A8" s="16" t="s">
        <v>37</v>
      </c>
      <c r="B8" s="16" t="s">
        <v>138</v>
      </c>
      <c r="C8" s="16" t="s">
        <v>130</v>
      </c>
      <c r="D8" s="24" t="n">
        <f aca="false">Assumptions!$B$17*Assumptions!$B$18</f>
        <v>90000</v>
      </c>
      <c r="E8" s="24" t="n">
        <f aca="false">Assumptions!$C$17*Assumptions!$C$18</f>
        <v>360000</v>
      </c>
      <c r="F8" s="24" t="n">
        <f aca="false">Assumptions!$D$17*Assumptions!$D$18</f>
        <v>1050000</v>
      </c>
      <c r="G8" s="20" t="s">
        <v>131</v>
      </c>
    </row>
    <row r="9" customFormat="false" ht="15" hidden="false" customHeight="false" outlineLevel="0" collapsed="false">
      <c r="A9" s="16" t="s">
        <v>40</v>
      </c>
      <c r="B9" s="16" t="s">
        <v>138</v>
      </c>
      <c r="C9" s="16" t="s">
        <v>130</v>
      </c>
      <c r="D9" s="24" t="n">
        <f aca="false">Assumptions!$B$20*Assumptions!$B$21</f>
        <v>160000</v>
      </c>
      <c r="E9" s="24" t="n">
        <f aca="false">Assumptions!$C$20*Assumptions!$C$21</f>
        <v>750000</v>
      </c>
      <c r="F9" s="24" t="n">
        <f aca="false">Assumptions!$D$20*Assumptions!$D$21</f>
        <v>2400000</v>
      </c>
      <c r="G9" s="20" t="s">
        <v>136</v>
      </c>
    </row>
    <row r="10" customFormat="false" ht="15" hidden="false" customHeight="false" outlineLevel="0" collapsed="false">
      <c r="A10" s="16" t="s">
        <v>44</v>
      </c>
      <c r="B10" s="16" t="s">
        <v>138</v>
      </c>
      <c r="C10" s="16" t="s">
        <v>130</v>
      </c>
      <c r="D10" s="24" t="n">
        <f aca="false">Assumptions!$B$23*Assumptions!$B$24</f>
        <v>60000</v>
      </c>
      <c r="E10" s="24" t="n">
        <f aca="false">Assumptions!$C$23*Assumptions!$C$24</f>
        <v>180000</v>
      </c>
      <c r="F10" s="24" t="n">
        <f aca="false">Assumptions!$D$23*Assumptions!$D$24</f>
        <v>420000</v>
      </c>
      <c r="G10" s="20" t="s">
        <v>131</v>
      </c>
    </row>
    <row r="11" customFormat="false" ht="15" hidden="false" customHeight="false" outlineLevel="0" collapsed="false">
      <c r="A11" s="16" t="s">
        <v>48</v>
      </c>
      <c r="B11" s="16" t="s">
        <v>129</v>
      </c>
      <c r="C11" s="16" t="s">
        <v>140</v>
      </c>
      <c r="D11" s="24" t="n">
        <f aca="false">Assumptions!$B$26*Assumptions!$B$27</f>
        <v>64000</v>
      </c>
      <c r="E11" s="24" t="n">
        <f aca="false">Assumptions!$C$26*Assumptions!$C$27</f>
        <v>180000</v>
      </c>
      <c r="F11" s="24" t="n">
        <f aca="false">Assumptions!$D$26*Assumptions!$D$27</f>
        <v>350000</v>
      </c>
      <c r="G11" s="20" t="s">
        <v>131</v>
      </c>
    </row>
    <row r="12" customFormat="false" ht="15" hidden="false" customHeight="false" outlineLevel="0" collapsed="false">
      <c r="A12" s="16" t="s">
        <v>50</v>
      </c>
      <c r="B12" s="16" t="s">
        <v>141</v>
      </c>
      <c r="C12" s="16" t="s">
        <v>140</v>
      </c>
      <c r="D12" s="24" t="n">
        <f aca="false">Assumptions!$B$29*Assumptions!$B$30*12</f>
        <v>72000</v>
      </c>
      <c r="E12" s="24" t="n">
        <f aca="false">Assumptions!$C$29*Assumptions!$C$30*12</f>
        <v>252000</v>
      </c>
      <c r="F12" s="24" t="n">
        <f aca="false">Assumptions!$D$29*Assumptions!$D$30*12</f>
        <v>576000</v>
      </c>
      <c r="G12" s="20" t="s">
        <v>136</v>
      </c>
    </row>
    <row r="13" customFormat="false" ht="15" hidden="false" customHeight="false" outlineLevel="0" collapsed="false">
      <c r="A13" s="16" t="s">
        <v>54</v>
      </c>
      <c r="B13" s="16" t="s">
        <v>129</v>
      </c>
      <c r="C13" s="16" t="s">
        <v>135</v>
      </c>
      <c r="D13" s="24" t="n">
        <f aca="false">Assumptions!$B$32*Assumptions!$B$33</f>
        <v>20000</v>
      </c>
      <c r="E13" s="24" t="n">
        <f aca="false">Assumptions!$C$32*Assumptions!$C$33</f>
        <v>100020</v>
      </c>
      <c r="F13" s="24" t="n">
        <f aca="false">Assumptions!$D$32*Assumptions!$D$33</f>
        <v>400000</v>
      </c>
      <c r="G13" s="20" t="s">
        <v>136</v>
      </c>
    </row>
    <row r="14" customFormat="false" ht="15" hidden="false" customHeight="false" outlineLevel="0" collapsed="false">
      <c r="A14" s="16" t="s">
        <v>57</v>
      </c>
      <c r="B14" s="16" t="s">
        <v>141</v>
      </c>
      <c r="C14" s="16" t="s">
        <v>142</v>
      </c>
      <c r="D14" s="24" t="n">
        <f aca="false">Assumptions!$B$35*Assumptions!$B$36</f>
        <v>30000</v>
      </c>
      <c r="E14" s="24" t="n">
        <f aca="false">Assumptions!$C$35*Assumptions!$C$36</f>
        <v>180000</v>
      </c>
      <c r="F14" s="24" t="n">
        <f aca="false">Assumptions!$D$35*Assumptions!$D$36</f>
        <v>500000</v>
      </c>
      <c r="G14" s="20" t="s">
        <v>136</v>
      </c>
    </row>
    <row r="15" customFormat="false" ht="15" hidden="false" customHeight="false" outlineLevel="0" collapsed="false">
      <c r="A15" s="16" t="s">
        <v>61</v>
      </c>
      <c r="B15" s="16" t="s">
        <v>129</v>
      </c>
      <c r="C15" s="16" t="s">
        <v>140</v>
      </c>
      <c r="D15" s="24" t="n">
        <f aca="false">Assumptions!$B$38*Assumptions!$B$39</f>
        <v>12000</v>
      </c>
      <c r="E15" s="24" t="n">
        <f aca="false">Assumptions!$C$38*Assumptions!$C$39</f>
        <v>30000</v>
      </c>
      <c r="F15" s="24" t="n">
        <f aca="false">Assumptions!$D$38*Assumptions!$D$39</f>
        <v>60000</v>
      </c>
      <c r="G15" s="20" t="s">
        <v>131</v>
      </c>
    </row>
    <row r="16" customFormat="false" ht="15" hidden="false" customHeight="false" outlineLevel="0" collapsed="false">
      <c r="A16" s="16" t="s">
        <v>65</v>
      </c>
      <c r="B16" s="16" t="s">
        <v>143</v>
      </c>
      <c r="C16" s="16" t="s">
        <v>142</v>
      </c>
      <c r="D16" s="24" t="n">
        <f aca="false">Assumptions!$B$41*Assumptions!$B$42</f>
        <v>10000</v>
      </c>
      <c r="E16" s="24" t="n">
        <f aca="false">Assumptions!$C$41*Assumptions!$C$42</f>
        <v>60000</v>
      </c>
      <c r="F16" s="24" t="n">
        <f aca="false">Assumptions!$D$41*Assumptions!$D$42</f>
        <v>250000</v>
      </c>
      <c r="G16" s="20" t="s">
        <v>131</v>
      </c>
    </row>
    <row r="17" customFormat="false" ht="15" hidden="false" customHeight="false" outlineLevel="0" collapsed="false">
      <c r="A17" s="16" t="s">
        <v>69</v>
      </c>
      <c r="B17" s="16" t="s">
        <v>129</v>
      </c>
      <c r="C17" s="16" t="s">
        <v>130</v>
      </c>
      <c r="D17" s="24" t="n">
        <f aca="false">(J4*Assumptions!$B$45+J5*Assumptions!$B$45*Assumptions!$B$57)</f>
        <v>195000</v>
      </c>
      <c r="E17" s="24" t="n">
        <f aca="false">(K4*Assumptions!$C$45+K5*Assumptions!$C$45*Assumptions!$C$57)</f>
        <v>828750</v>
      </c>
      <c r="F17" s="24" t="n">
        <f aca="false">(L4*Assumptions!$D$45+L5*Assumptions!$D$45*Assumptions!$D$57)</f>
        <v>2169375</v>
      </c>
      <c r="G17" s="20" t="s">
        <v>136</v>
      </c>
    </row>
    <row r="18" customFormat="false" ht="15" hidden="false" customHeight="false" outlineLevel="0" collapsed="false">
      <c r="A18" s="16" t="s">
        <v>73</v>
      </c>
      <c r="B18" s="16" t="s">
        <v>129</v>
      </c>
      <c r="C18" s="16" t="s">
        <v>130</v>
      </c>
      <c r="D18" s="24" t="n">
        <f aca="false">Assumptions!$B$47*Assumptions!$B$48*Assumptions!$B$58</f>
        <v>39800</v>
      </c>
      <c r="E18" s="24" t="n">
        <f aca="false">Assumptions!$C$47*Assumptions!$C$48*Assumptions!$C$58</f>
        <v>159200</v>
      </c>
      <c r="F18" s="24" t="n">
        <f aca="false">Assumptions!$D$47*Assumptions!$D$48*Assumptions!$D$58</f>
        <v>398000</v>
      </c>
      <c r="G18" s="20" t="s">
        <v>131</v>
      </c>
    </row>
    <row r="19" customFormat="false" ht="15" hidden="false" customHeight="false" outlineLevel="0" collapsed="false">
      <c r="A19" s="4" t="s">
        <v>144</v>
      </c>
      <c r="D19" s="27" t="n">
        <f aca="false">SUM(D4:D18)</f>
        <v>2042700</v>
      </c>
      <c r="E19" s="27" t="n">
        <f aca="false">SUM(E4:E18)</f>
        <v>7206570</v>
      </c>
      <c r="F19" s="27" t="n">
        <f aca="false">SUM(F4:F18)</f>
        <v>17160275</v>
      </c>
    </row>
    <row r="21" customFormat="false" ht="15" hidden="false" customHeight="false" outlineLevel="0" collapsed="false">
      <c r="A21" s="4" t="s">
        <v>145</v>
      </c>
    </row>
    <row r="22" customFormat="false" ht="15" hidden="false" customHeight="false" outlineLevel="0" collapsed="false">
      <c r="A22" s="16" t="s">
        <v>146</v>
      </c>
      <c r="D22" s="28" t="n">
        <f aca="false">SUMIF($G$4:$G$18,"Yes",D4:D18)</f>
        <v>761400</v>
      </c>
      <c r="E22" s="28" t="n">
        <f aca="false">SUMIF($G$4:$G$18,"Yes",E4:E18)</f>
        <v>3248370</v>
      </c>
      <c r="F22" s="28" t="n">
        <f aca="false">SUMIF($G$4:$G$18,"Yes",F4:F18)</f>
        <v>8699775</v>
      </c>
    </row>
    <row r="23" customFormat="false" ht="15" hidden="false" customHeight="false" outlineLevel="0" collapsed="false">
      <c r="A23" s="16" t="s">
        <v>147</v>
      </c>
      <c r="D23" s="29" t="n">
        <f aca="false">IF(D$19=0,0,D22/D$19)</f>
        <v>0.372741959171685</v>
      </c>
      <c r="E23" s="29" t="n">
        <f aca="false">IF(E$19=0,0,E22/E$19)</f>
        <v>0.450751189539545</v>
      </c>
      <c r="F23" s="29" t="n">
        <f aca="false">IF(F$19=0,0,F22/F$19)</f>
        <v>0.50697177055729</v>
      </c>
    </row>
    <row r="24" customFormat="false" ht="15" hidden="false" customHeight="false" outlineLevel="0" collapsed="false">
      <c r="A24" s="16" t="s">
        <v>148</v>
      </c>
      <c r="D24" s="29" t="n">
        <f aca="false">IF(D$19=0,0,D16/D$19)</f>
        <v>0.00489548147060263</v>
      </c>
      <c r="E24" s="29" t="n">
        <f aca="false">IF(E$19=0,0,E16/E$19)</f>
        <v>0.00832573609914287</v>
      </c>
      <c r="F24" s="29" t="n">
        <f aca="false">IF(F$19=0,0,F16/F$19)</f>
        <v>0.0145685310987149</v>
      </c>
    </row>
    <row r="25" customFormat="false" ht="15" hidden="false" customHeight="false" outlineLevel="0" collapsed="false">
      <c r="A25" s="16" t="s">
        <v>149</v>
      </c>
      <c r="D25" s="16" t="str">
        <f aca="false">IF(D24&lt;=Assumptions!$B$55,"OK","OVER CAP")</f>
        <v>OK</v>
      </c>
      <c r="E25" s="16" t="str">
        <f aca="false">IF(E24&lt;=Assumptions!$C$55,"OK","OVER CAP")</f>
        <v>OK</v>
      </c>
      <c r="F25" s="16" t="str">
        <f aca="false">IF(F24&lt;=Assumptions!$D$55,"OK","OVER CAP")</f>
        <v>OK</v>
      </c>
    </row>
    <row r="27" customFormat="false" ht="15" hidden="false" customHeight="false" outlineLevel="0" collapsed="false">
      <c r="A27" s="4" t="s">
        <v>150</v>
      </c>
    </row>
    <row r="28" customFormat="false" ht="15" hidden="false" customHeight="false" outlineLevel="0" collapsed="false">
      <c r="A28" s="16" t="s">
        <v>129</v>
      </c>
      <c r="D28" s="28" t="n">
        <f aca="false">SUMIF($B$4:$B$18,"1 Digital Products",D4:D18)</f>
        <v>711300</v>
      </c>
      <c r="E28" s="28" t="n">
        <f aca="false">SUMIF($B$4:$B$18,"1 Digital Products",E4:E18)</f>
        <v>2786970</v>
      </c>
      <c r="F28" s="28" t="n">
        <f aca="false">SUMIF($B$4:$B$18,"1 Digital Products",F4:F18)</f>
        <v>6852375</v>
      </c>
    </row>
    <row r="29" customFormat="false" ht="15" hidden="false" customHeight="false" outlineLevel="0" collapsed="false">
      <c r="A29" s="16" t="s">
        <v>138</v>
      </c>
      <c r="D29" s="28" t="n">
        <f aca="false">SUMIF($B$4:$B$18,"2 Transformation",D4:D18)</f>
        <v>935000</v>
      </c>
      <c r="E29" s="28" t="n">
        <f aca="false">SUMIF($B$4:$B$18,"2 Transformation",E4:E18)</f>
        <v>2790000</v>
      </c>
      <c r="F29" s="28" t="n">
        <f aca="false">SUMIF($B$4:$B$18,"2 Transformation",F4:F18)</f>
        <v>6327500</v>
      </c>
    </row>
    <row r="30" customFormat="false" ht="15" hidden="false" customHeight="false" outlineLevel="0" collapsed="false">
      <c r="A30" s="16" t="s">
        <v>134</v>
      </c>
      <c r="D30" s="28" t="n">
        <f aca="false">SUMIF($B$4:$B$18,"3 Community",D4:D18)</f>
        <v>284400</v>
      </c>
      <c r="E30" s="28" t="n">
        <f aca="false">SUMIF($B$4:$B$18,"3 Community",E4:E18)</f>
        <v>1137600</v>
      </c>
      <c r="F30" s="28" t="n">
        <f aca="false">SUMIF($B$4:$B$18,"3 Community",F4:F18)</f>
        <v>2654400</v>
      </c>
    </row>
    <row r="31" customFormat="false" ht="15" hidden="false" customHeight="false" outlineLevel="0" collapsed="false">
      <c r="A31" s="16" t="s">
        <v>143</v>
      </c>
      <c r="D31" s="28" t="n">
        <f aca="false">SUMIF($B$4:$B$18,"4 Merchandise",D4:D18)</f>
        <v>10000</v>
      </c>
      <c r="E31" s="28" t="n">
        <f aca="false">SUMIF($B$4:$B$18,"4 Merchandise",E4:E18)</f>
        <v>60000</v>
      </c>
      <c r="F31" s="28" t="n">
        <f aca="false">SUMIF($B$4:$B$18,"4 Merchandise",F4:F18)</f>
        <v>250000</v>
      </c>
    </row>
    <row r="32" customFormat="false" ht="15" hidden="false" customHeight="false" outlineLevel="0" collapsed="false">
      <c r="A32" s="16" t="s">
        <v>141</v>
      </c>
      <c r="D32" s="28" t="n">
        <f aca="false">SUMIF($B$4:$B$18,"Portfolio",D4:D18)</f>
        <v>102000</v>
      </c>
      <c r="E32" s="28" t="n">
        <f aca="false">SUMIF($B$4:$B$18,"Portfolio",E4:E18)</f>
        <v>432000</v>
      </c>
      <c r="F32" s="28" t="n">
        <f aca="false">SUMIF($B$4:$B$18,"Portfolio",F4:F18)</f>
        <v>1076000</v>
      </c>
    </row>
    <row r="34" customFormat="false" ht="15" hidden="false" customHeight="false" outlineLevel="0" collapsed="false">
      <c r="A34" s="4" t="s">
        <v>151</v>
      </c>
    </row>
    <row r="35" customFormat="false" ht="15" hidden="false" customHeight="false" outlineLevel="0" collapsed="false">
      <c r="A35" s="16" t="s">
        <v>130</v>
      </c>
      <c r="D35" s="28" t="n">
        <f aca="false">SUMIF($C$4:$C$18,"School",D4:D18)</f>
        <v>1550300</v>
      </c>
      <c r="E35" s="28" t="n">
        <f aca="false">SUMIF($C$4:$C$18,"School",E4:E18)</f>
        <v>5266950</v>
      </c>
      <c r="F35" s="28" t="n">
        <f aca="false">SUMIF($C$4:$C$18,"School",F4:F18)</f>
        <v>12369875</v>
      </c>
    </row>
    <row r="36" customFormat="false" ht="15" hidden="false" customHeight="false" outlineLevel="0" collapsed="false">
      <c r="A36" s="16" t="s">
        <v>140</v>
      </c>
      <c r="D36" s="28" t="n">
        <f aca="false">SUMIF($C$4:$C$18,"Studios",D4:D18)</f>
        <v>148000</v>
      </c>
      <c r="E36" s="28" t="n">
        <f aca="false">SUMIF($C$4:$C$18,"Studios",E4:E18)</f>
        <v>462000</v>
      </c>
      <c r="F36" s="28" t="n">
        <f aca="false">SUMIF($C$4:$C$18,"Studios",F4:F18)</f>
        <v>986000</v>
      </c>
    </row>
    <row r="37" customFormat="false" ht="15" hidden="false" customHeight="false" outlineLevel="0" collapsed="false">
      <c r="A37" s="16" t="s">
        <v>135</v>
      </c>
      <c r="D37" s="28" t="n">
        <f aca="false">SUMIF($C$4:$C$18,"AI Edge",D4:D18)</f>
        <v>304400</v>
      </c>
      <c r="E37" s="28" t="n">
        <f aca="false">SUMIF($C$4:$C$18,"AI Edge",E4:E18)</f>
        <v>1237620</v>
      </c>
      <c r="F37" s="28" t="n">
        <f aca="false">SUMIF($C$4:$C$18,"AI Edge",F4:F18)</f>
        <v>3054400</v>
      </c>
    </row>
    <row r="38" customFormat="false" ht="15" hidden="false" customHeight="false" outlineLevel="0" collapsed="false">
      <c r="A38" s="16" t="s">
        <v>142</v>
      </c>
      <c r="D38" s="28" t="n">
        <f aca="false">SUMIF($C$4:$C$18,"WeekendAI Hub",D4:D18)</f>
        <v>40000</v>
      </c>
      <c r="E38" s="28" t="n">
        <f aca="false">SUMIF($C$4:$C$18,"WeekendAI Hub",E4:E18)</f>
        <v>240000</v>
      </c>
      <c r="F38" s="28" t="n">
        <f aca="false">SUMIF($C$4:$C$18,"WeekendAI Hub",F4:F18)</f>
        <v>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6" t="s">
        <v>152</v>
      </c>
    </row>
    <row r="3" customFormat="false" ht="15" hidden="false" customHeight="false" outlineLevel="0" collapsed="false">
      <c r="A3" s="7" t="s">
        <v>153</v>
      </c>
      <c r="B3" s="8" t="s">
        <v>17</v>
      </c>
      <c r="C3" s="8" t="s">
        <v>18</v>
      </c>
      <c r="D3" s="8" t="s">
        <v>19</v>
      </c>
    </row>
    <row r="4" customFormat="false" ht="15" hidden="false" customHeight="false" outlineLevel="0" collapsed="false">
      <c r="A4" s="4" t="s">
        <v>154</v>
      </c>
      <c r="B4" s="24" t="n">
        <f aca="false">Revenue!D19</f>
        <v>2042700</v>
      </c>
      <c r="C4" s="24" t="n">
        <f aca="false">Revenue!E19</f>
        <v>7206570</v>
      </c>
      <c r="D4" s="24" t="n">
        <f aca="false">Revenue!F19</f>
        <v>17160275</v>
      </c>
    </row>
    <row r="5" customFormat="false" ht="15" hidden="false" customHeight="false" outlineLevel="0" collapsed="false">
      <c r="A5" s="16" t="s">
        <v>155</v>
      </c>
      <c r="B5" s="28" t="n">
        <f aca="false">Revenue!D4*(1-Assumptions!$E$4)+Revenue!D5*(1-Assumptions!$E$7)+Revenue!D6*(1-Assumptions!$E$10)+Revenue!D7*(1-Assumptions!$E$13)+Revenue!D8*(1-Assumptions!$E$16)+Revenue!D9*(1-Assumptions!$E$19)+Revenue!D10*(1-Assumptions!$E$22)+Revenue!D11*(1-Assumptions!$E$25)+Revenue!D12*(1-Assumptions!$E$28)+Revenue!D13*(1-Assumptions!$E$31)+Revenue!D14*(1-Assumptions!$E$34)+Revenue!D15*(1-Assumptions!$E$37)+Revenue!D16*(1-Assumptions!$E$40)+Revenue!D17*(1-Assumptions!$E$43)+Revenue!D18*(1-Assumptions!$E$46)</f>
        <v>511180</v>
      </c>
      <c r="C5" s="28" t="n">
        <f aca="false">Revenue!E4*(1-Assumptions!$E$4)+Revenue!E5*(1-Assumptions!$E$7)+Revenue!E6*(1-Assumptions!$E$10)+Revenue!E7*(1-Assumptions!$E$13)+Revenue!E8*(1-Assumptions!$E$16)+Revenue!E9*(1-Assumptions!$E$19)+Revenue!E10*(1-Assumptions!$E$22)+Revenue!E11*(1-Assumptions!$E$25)+Revenue!E12*(1-Assumptions!$E$28)+Revenue!E13*(1-Assumptions!$E$31)+Revenue!E14*(1-Assumptions!$E$34)+Revenue!E15*(1-Assumptions!$E$37)+Revenue!E16*(1-Assumptions!$E$40)+Revenue!E17*(1-Assumptions!$E$43)+Revenue!E18*(1-Assumptions!$E$46)</f>
        <v>1730572</v>
      </c>
      <c r="D5" s="28" t="n">
        <f aca="false">Revenue!F4*(1-Assumptions!$E$4)+Revenue!F5*(1-Assumptions!$E$7)+Revenue!F6*(1-Assumptions!$E$10)+Revenue!F7*(1-Assumptions!$E$13)+Revenue!F8*(1-Assumptions!$E$16)+Revenue!F9*(1-Assumptions!$E$19)+Revenue!F10*(1-Assumptions!$E$22)+Revenue!F11*(1-Assumptions!$E$25)+Revenue!F12*(1-Assumptions!$E$28)+Revenue!F13*(1-Assumptions!$E$31)+Revenue!F14*(1-Assumptions!$E$34)+Revenue!F15*(1-Assumptions!$E$37)+Revenue!F16*(1-Assumptions!$E$40)+Revenue!F17*(1-Assumptions!$E$43)+Revenue!F18*(1-Assumptions!$E$46)</f>
        <v>4139185</v>
      </c>
    </row>
    <row r="6" customFormat="false" ht="15" hidden="false" customHeight="false" outlineLevel="0" collapsed="false">
      <c r="A6" s="4" t="s">
        <v>156</v>
      </c>
      <c r="B6" s="27" t="n">
        <f aca="false">B4-B5</f>
        <v>1531520</v>
      </c>
      <c r="C6" s="27" t="n">
        <f aca="false">C4-C5</f>
        <v>5475998</v>
      </c>
      <c r="D6" s="27" t="n">
        <f aca="false">D4-D5</f>
        <v>13021090</v>
      </c>
    </row>
    <row r="7" customFormat="false" ht="15" hidden="false" customHeight="false" outlineLevel="0" collapsed="false">
      <c r="A7" s="16" t="s">
        <v>20</v>
      </c>
      <c r="B7" s="29" t="n">
        <f aca="false">IF(B4=0,0,B6/B4)</f>
        <v>0.749752778185735</v>
      </c>
      <c r="C7" s="29" t="n">
        <f aca="false">IF(C4=0,0,C6/C4)</f>
        <v>0.759861903790569</v>
      </c>
      <c r="D7" s="29" t="n">
        <f aca="false">IF(D4=0,0,D6/D4)</f>
        <v>0.758792618416663</v>
      </c>
    </row>
    <row r="9" customFormat="false" ht="15" hidden="false" customHeight="false" outlineLevel="0" collapsed="false">
      <c r="A9" s="4" t="s">
        <v>76</v>
      </c>
    </row>
    <row r="10" customFormat="false" ht="15" hidden="false" customHeight="false" outlineLevel="0" collapsed="false">
      <c r="A10" s="16" t="s">
        <v>157</v>
      </c>
      <c r="B10" s="28" t="n">
        <f aca="false">B4*Assumptions!$B$52</f>
        <v>714945</v>
      </c>
      <c r="C10" s="28" t="n">
        <f aca="false">C4*Assumptions!$C$52</f>
        <v>1729576.8</v>
      </c>
      <c r="D10" s="28" t="n">
        <f aca="false">D4*Assumptions!$D$52</f>
        <v>3603657.75</v>
      </c>
    </row>
    <row r="11" customFormat="false" ht="15" hidden="false" customHeight="false" outlineLevel="0" collapsed="false">
      <c r="A11" s="16" t="s">
        <v>158</v>
      </c>
      <c r="B11" s="28" t="n">
        <f aca="false">SUMPRODUCT(Assumptions!B62:B70,Assumptions!$E$62:$E$70)</f>
        <v>430000</v>
      </c>
      <c r="C11" s="28" t="n">
        <f aca="false">SUMPRODUCT(Assumptions!C62:C70,Assumptions!$E$62:$E$70)</f>
        <v>1305000</v>
      </c>
      <c r="D11" s="28" t="n">
        <f aca="false">SUMPRODUCT(Assumptions!D62:D70,Assumptions!$E$62:$E$70)</f>
        <v>2325000</v>
      </c>
    </row>
    <row r="12" customFormat="false" ht="15" hidden="false" customHeight="false" outlineLevel="0" collapsed="false">
      <c r="A12" s="16" t="s">
        <v>159</v>
      </c>
      <c r="B12" s="28" t="n">
        <f aca="false">B4*Assumptions!$B$53</f>
        <v>81708</v>
      </c>
      <c r="C12" s="28" t="n">
        <f aca="false">C4*Assumptions!$C$53</f>
        <v>216197.1</v>
      </c>
      <c r="D12" s="28" t="n">
        <f aca="false">D4*Assumptions!$D$53</f>
        <v>429006.875</v>
      </c>
    </row>
    <row r="13" customFormat="false" ht="15" hidden="false" customHeight="false" outlineLevel="0" collapsed="false">
      <c r="A13" s="16" t="s">
        <v>160</v>
      </c>
      <c r="B13" s="28" t="n">
        <f aca="false">B4*Assumptions!$B$54</f>
        <v>102135</v>
      </c>
      <c r="C13" s="28" t="n">
        <f aca="false">C4*Assumptions!$C$54</f>
        <v>288262.8</v>
      </c>
      <c r="D13" s="28" t="n">
        <f aca="false">D4*Assumptions!$D$54</f>
        <v>600609.625</v>
      </c>
    </row>
    <row r="14" customFormat="false" ht="15" hidden="false" customHeight="false" outlineLevel="0" collapsed="false">
      <c r="A14" s="4" t="s">
        <v>161</v>
      </c>
      <c r="B14" s="27" t="n">
        <f aca="false">SUM(B10:B13)</f>
        <v>1328788</v>
      </c>
      <c r="C14" s="27" t="n">
        <f aca="false">SUM(C10:C13)</f>
        <v>3539036.7</v>
      </c>
      <c r="D14" s="27" t="n">
        <f aca="false">SUM(D10:D13)</f>
        <v>6958274.25</v>
      </c>
    </row>
    <row r="16" customFormat="false" ht="15" hidden="false" customHeight="false" outlineLevel="0" collapsed="false">
      <c r="A16" s="4" t="s">
        <v>162</v>
      </c>
      <c r="B16" s="30" t="n">
        <f aca="false">B6-B14</f>
        <v>202732</v>
      </c>
      <c r="C16" s="30" t="n">
        <f aca="false">C6-C14</f>
        <v>1936961.3</v>
      </c>
      <c r="D16" s="30" t="n">
        <f aca="false">D6-D14</f>
        <v>6062815.75</v>
      </c>
    </row>
    <row r="17" customFormat="false" ht="15" hidden="false" customHeight="false" outlineLevel="0" collapsed="false">
      <c r="A17" s="16" t="s">
        <v>163</v>
      </c>
      <c r="B17" s="29" t="n">
        <f aca="false">IF(B4=0,0,B16/B4)</f>
        <v>0.0992470749498213</v>
      </c>
      <c r="C17" s="29" t="n">
        <f aca="false">IF(C4=0,0,C16/C4)</f>
        <v>0.268777143634212</v>
      </c>
      <c r="D17" s="29" t="n">
        <f aca="false">IF(D4=0,0,D16/D4)</f>
        <v>0.353305279198614</v>
      </c>
    </row>
    <row r="19" customFormat="false" ht="15" hidden="false" customHeight="false" outlineLevel="0" collapsed="false">
      <c r="A19" s="16" t="s">
        <v>164</v>
      </c>
      <c r="B19" s="26" t="n">
        <f aca="false">SUM(Assumptions!B62:B70)</f>
        <v>5</v>
      </c>
      <c r="C19" s="26" t="n">
        <f aca="false">SUM(Assumptions!C62:C70)</f>
        <v>15</v>
      </c>
      <c r="D19" s="26" t="n">
        <f aca="false">SUM(Assumptions!D62:D70)</f>
        <v>28</v>
      </c>
    </row>
    <row r="20" customFormat="false" ht="15" hidden="false" customHeight="false" outlineLevel="0" collapsed="false">
      <c r="A20" s="16" t="s">
        <v>165</v>
      </c>
      <c r="B20" s="28" t="n">
        <f aca="false">IF(B19=0,0,B4/B19)</f>
        <v>408540</v>
      </c>
      <c r="C20" s="28" t="n">
        <f aca="false">IF(C19=0,0,C4/C19)</f>
        <v>480438</v>
      </c>
      <c r="D20" s="28" t="n">
        <f aca="false">IF(D19=0,0,D4/D19)</f>
        <v>612866.964285714</v>
      </c>
    </row>
    <row r="21" customFormat="false" ht="15" hidden="false" customHeight="false" outlineLevel="0" collapsed="false">
      <c r="A21" s="16" t="s">
        <v>166</v>
      </c>
      <c r="B21" s="28" t="n">
        <f aca="false">B16</f>
        <v>202732</v>
      </c>
      <c r="C21" s="28" t="n">
        <f aca="false">B21+C16</f>
        <v>2139693.3</v>
      </c>
      <c r="D21" s="28" t="n">
        <f aca="false">C21+D16</f>
        <v>8202509.05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6" t="s">
        <v>167</v>
      </c>
    </row>
    <row r="2" customFormat="false" ht="15" hidden="false" customHeight="false" outlineLevel="0" collapsed="false">
      <c r="A2" s="18" t="s">
        <v>168</v>
      </c>
    </row>
    <row r="4" customFormat="false" ht="15" hidden="false" customHeight="false" outlineLevel="0" collapsed="false">
      <c r="A4" s="7" t="s">
        <v>169</v>
      </c>
      <c r="B4" s="8" t="s">
        <v>170</v>
      </c>
      <c r="C4" s="8" t="s">
        <v>171</v>
      </c>
      <c r="D4" s="8" t="s">
        <v>172</v>
      </c>
      <c r="E4" s="8" t="s">
        <v>93</v>
      </c>
      <c r="F4" s="8" t="s">
        <v>173</v>
      </c>
      <c r="G4" s="8" t="s">
        <v>174</v>
      </c>
    </row>
    <row r="5" customFormat="false" ht="15" hidden="false" customHeight="false" outlineLevel="0" collapsed="false">
      <c r="A5" s="16" t="s">
        <v>95</v>
      </c>
      <c r="B5" s="31" t="n">
        <v>1</v>
      </c>
      <c r="C5" s="31" t="n">
        <v>1</v>
      </c>
      <c r="D5" s="31" t="n">
        <v>1</v>
      </c>
      <c r="E5" s="14" t="n">
        <v>150000</v>
      </c>
      <c r="F5" s="18" t="s">
        <v>175</v>
      </c>
      <c r="G5" s="18" t="s">
        <v>176</v>
      </c>
    </row>
    <row r="6" customFormat="false" ht="15" hidden="false" customHeight="false" outlineLevel="0" collapsed="false">
      <c r="A6" s="16" t="s">
        <v>97</v>
      </c>
      <c r="B6" s="31" t="n">
        <v>0</v>
      </c>
      <c r="C6" s="31" t="n">
        <v>1</v>
      </c>
      <c r="D6" s="31" t="n">
        <v>1</v>
      </c>
      <c r="E6" s="14" t="n">
        <v>165000</v>
      </c>
      <c r="F6" s="18" t="s">
        <v>177</v>
      </c>
      <c r="G6" s="18" t="s">
        <v>178</v>
      </c>
    </row>
    <row r="7" customFormat="false" ht="15" hidden="false" customHeight="false" outlineLevel="0" collapsed="false">
      <c r="A7" s="16" t="s">
        <v>179</v>
      </c>
      <c r="B7" s="32" t="n">
        <v>1</v>
      </c>
      <c r="C7" s="32" t="n">
        <v>1</v>
      </c>
      <c r="D7" s="32" t="n">
        <v>1</v>
      </c>
      <c r="E7" s="14" t="n">
        <v>90000</v>
      </c>
      <c r="F7" s="18" t="s">
        <v>180</v>
      </c>
      <c r="G7" s="18" t="s">
        <v>181</v>
      </c>
    </row>
    <row r="8" customFormat="false" ht="15" hidden="false" customHeight="false" outlineLevel="0" collapsed="false">
      <c r="A8" s="16" t="s">
        <v>182</v>
      </c>
      <c r="B8" s="31" t="n">
        <v>0</v>
      </c>
      <c r="C8" s="31" t="n">
        <v>1</v>
      </c>
      <c r="D8" s="31" t="n">
        <v>2</v>
      </c>
      <c r="E8" s="14" t="n">
        <v>60000</v>
      </c>
      <c r="F8" s="18" t="s">
        <v>183</v>
      </c>
      <c r="G8" s="18" t="s">
        <v>184</v>
      </c>
    </row>
    <row r="9" customFormat="false" ht="15" hidden="false" customHeight="false" outlineLevel="0" collapsed="false">
      <c r="A9" s="16" t="s">
        <v>185</v>
      </c>
      <c r="B9" s="31" t="n">
        <v>1</v>
      </c>
      <c r="C9" s="31" t="n">
        <v>1</v>
      </c>
      <c r="D9" s="31" t="n">
        <v>2</v>
      </c>
      <c r="E9" s="14" t="n">
        <v>75000</v>
      </c>
      <c r="F9" s="18" t="s">
        <v>186</v>
      </c>
      <c r="G9" s="18" t="s">
        <v>187</v>
      </c>
    </row>
    <row r="10" customFormat="false" ht="15" hidden="false" customHeight="false" outlineLevel="0" collapsed="false">
      <c r="A10" s="16" t="s">
        <v>188</v>
      </c>
      <c r="B10" s="31" t="n">
        <v>0</v>
      </c>
      <c r="C10" s="31" t="n">
        <v>1</v>
      </c>
      <c r="D10" s="31" t="n">
        <v>2</v>
      </c>
      <c r="E10" s="14" t="n">
        <v>90000</v>
      </c>
      <c r="F10" s="18" t="s">
        <v>189</v>
      </c>
      <c r="G10" s="18" t="s">
        <v>190</v>
      </c>
    </row>
    <row r="11" customFormat="false" ht="15" hidden="false" customHeight="false" outlineLevel="0" collapsed="false">
      <c r="A11" s="16" t="s">
        <v>191</v>
      </c>
      <c r="B11" s="31" t="n">
        <v>0</v>
      </c>
      <c r="C11" s="31" t="n">
        <v>1</v>
      </c>
      <c r="D11" s="31" t="n">
        <v>1</v>
      </c>
      <c r="E11" s="14" t="n">
        <v>110000</v>
      </c>
      <c r="F11" s="18" t="s">
        <v>192</v>
      </c>
      <c r="G11" s="18" t="s">
        <v>193</v>
      </c>
    </row>
    <row r="12" customFormat="false" ht="15" hidden="false" customHeight="false" outlineLevel="0" collapsed="false">
      <c r="A12" s="16" t="s">
        <v>194</v>
      </c>
      <c r="B12" s="31" t="n">
        <v>0.5</v>
      </c>
      <c r="C12" s="31" t="n">
        <v>3</v>
      </c>
      <c r="D12" s="31" t="n">
        <v>8</v>
      </c>
      <c r="E12" s="14" t="n">
        <v>80000</v>
      </c>
      <c r="F12" s="18" t="s">
        <v>195</v>
      </c>
      <c r="G12" s="18" t="s">
        <v>196</v>
      </c>
    </row>
    <row r="13" customFormat="false" ht="15" hidden="false" customHeight="false" outlineLevel="0" collapsed="false">
      <c r="A13" s="16" t="s">
        <v>197</v>
      </c>
      <c r="B13" s="31" t="n">
        <v>0</v>
      </c>
      <c r="C13" s="31" t="n">
        <v>0</v>
      </c>
      <c r="D13" s="31" t="n">
        <v>1</v>
      </c>
      <c r="E13" s="14" t="n">
        <v>85000</v>
      </c>
      <c r="F13" s="18" t="s">
        <v>198</v>
      </c>
      <c r="G13" s="18" t="s">
        <v>199</v>
      </c>
    </row>
    <row r="14" customFormat="false" ht="15" hidden="false" customHeight="false" outlineLevel="0" collapsed="false">
      <c r="A14" s="16" t="s">
        <v>200</v>
      </c>
      <c r="B14" s="31" t="n">
        <v>0</v>
      </c>
      <c r="C14" s="31" t="n">
        <v>1</v>
      </c>
      <c r="D14" s="31" t="n">
        <v>1</v>
      </c>
      <c r="E14" s="14" t="n">
        <v>100000</v>
      </c>
      <c r="F14" s="18" t="s">
        <v>201</v>
      </c>
      <c r="G14" s="18" t="s">
        <v>202</v>
      </c>
    </row>
    <row r="15" customFormat="false" ht="15" hidden="false" customHeight="false" outlineLevel="0" collapsed="false">
      <c r="A15" s="4" t="s">
        <v>203</v>
      </c>
      <c r="B15" s="33" t="n">
        <f aca="false">SUM(B5:B14)</f>
        <v>3.5</v>
      </c>
      <c r="C15" s="33" t="n">
        <f aca="false">SUM(C5:C14)</f>
        <v>11</v>
      </c>
      <c r="D15" s="33" t="n">
        <f aca="false">SUM(D5:D14)</f>
        <v>20</v>
      </c>
    </row>
    <row r="17" customFormat="false" ht="15" hidden="false" customHeight="false" outlineLevel="0" collapsed="false">
      <c r="A17" s="7" t="s">
        <v>204</v>
      </c>
      <c r="B17" s="8" t="s">
        <v>17</v>
      </c>
      <c r="C17" s="8" t="s">
        <v>18</v>
      </c>
      <c r="D17" s="8" t="s">
        <v>19</v>
      </c>
      <c r="E17" s="8"/>
      <c r="F17" s="8"/>
      <c r="G17" s="8" t="s">
        <v>94</v>
      </c>
    </row>
    <row r="18" customFormat="false" ht="15" hidden="false" customHeight="false" outlineLevel="0" collapsed="false">
      <c r="A18" s="16" t="s">
        <v>205</v>
      </c>
      <c r="B18" s="28" t="n">
        <f aca="false">SUMPRODUCT(B5:B14,$E$5:$E$14)</f>
        <v>355000</v>
      </c>
      <c r="C18" s="28" t="n">
        <f aca="false">SUMPRODUCT(C5:C14,$E$5:$E$14)</f>
        <v>1080000</v>
      </c>
      <c r="D18" s="28" t="n">
        <f aca="false">SUMPRODUCT(D5:D14,$E$5:$E$14)</f>
        <v>1790000</v>
      </c>
    </row>
    <row r="19" customFormat="false" ht="15" hidden="false" customHeight="false" outlineLevel="0" collapsed="false">
      <c r="A19" s="16" t="s">
        <v>206</v>
      </c>
      <c r="B19" s="14" t="n">
        <v>30000</v>
      </c>
      <c r="C19" s="14" t="n">
        <v>90000</v>
      </c>
      <c r="D19" s="14" t="n">
        <v>180000</v>
      </c>
      <c r="G19" s="18" t="s">
        <v>207</v>
      </c>
    </row>
    <row r="20" customFormat="false" ht="15" hidden="false" customHeight="false" outlineLevel="0" collapsed="false">
      <c r="A20" s="16" t="s">
        <v>208</v>
      </c>
      <c r="B20" s="14" t="n">
        <v>60000</v>
      </c>
      <c r="C20" s="14" t="n">
        <v>90000</v>
      </c>
      <c r="D20" s="14" t="n">
        <v>150000</v>
      </c>
      <c r="G20" s="18" t="s">
        <v>209</v>
      </c>
    </row>
    <row r="21" customFormat="false" ht="15" hidden="false" customHeight="false" outlineLevel="0" collapsed="false">
      <c r="A21" s="4" t="s">
        <v>210</v>
      </c>
      <c r="B21" s="27" t="n">
        <f aca="false">SUM(B18:B20)</f>
        <v>445000</v>
      </c>
      <c r="C21" s="27" t="n">
        <f aca="false">SUM(C18:C20)</f>
        <v>1260000</v>
      </c>
      <c r="D21" s="27" t="n">
        <f aca="false">SUM(D18:D20)</f>
        <v>2120000</v>
      </c>
    </row>
    <row r="23" customFormat="false" ht="15" hidden="false" customHeight="false" outlineLevel="0" collapsed="false">
      <c r="A23" s="7" t="s">
        <v>211</v>
      </c>
      <c r="B23" s="8" t="s">
        <v>17</v>
      </c>
      <c r="C23" s="8" t="s">
        <v>18</v>
      </c>
      <c r="D23" s="8" t="s">
        <v>19</v>
      </c>
      <c r="E23" s="8"/>
      <c r="F23" s="8"/>
      <c r="G23" s="8" t="s">
        <v>94</v>
      </c>
    </row>
    <row r="24" customFormat="false" ht="15" hidden="false" customHeight="false" outlineLevel="0" collapsed="false">
      <c r="A24" s="5" t="s">
        <v>212</v>
      </c>
      <c r="B24" s="24" t="n">
        <f aca="false">'P&amp;L'!B11</f>
        <v>430000</v>
      </c>
      <c r="C24" s="24" t="n">
        <f aca="false">'P&amp;L'!C11</f>
        <v>1305000</v>
      </c>
      <c r="D24" s="24" t="n">
        <f aca="false">'P&amp;L'!D11</f>
        <v>2325000</v>
      </c>
      <c r="G24" s="18" t="s">
        <v>213</v>
      </c>
    </row>
    <row r="25" customFormat="false" ht="15" hidden="false" customHeight="false" outlineLevel="0" collapsed="false">
      <c r="A25" s="5" t="s">
        <v>214</v>
      </c>
      <c r="B25" s="34" t="n">
        <f aca="false">'P&amp;L'!B19</f>
        <v>5</v>
      </c>
      <c r="C25" s="34" t="n">
        <f aca="false">'P&amp;L'!C19</f>
        <v>15</v>
      </c>
      <c r="D25" s="34" t="n">
        <f aca="false">'P&amp;L'!D19</f>
        <v>28</v>
      </c>
    </row>
    <row r="26" customFormat="false" ht="15" hidden="false" customHeight="false" outlineLevel="0" collapsed="false">
      <c r="A26" s="4" t="s">
        <v>215</v>
      </c>
      <c r="B26" s="30" t="n">
        <f aca="false">B24-B21</f>
        <v>-15000</v>
      </c>
      <c r="C26" s="30" t="n">
        <f aca="false">C24-C21</f>
        <v>45000</v>
      </c>
      <c r="D26" s="30" t="n">
        <f aca="false">D24-D21</f>
        <v>205000</v>
      </c>
    </row>
    <row r="27" customFormat="false" ht="15" hidden="false" customHeight="false" outlineLevel="0" collapsed="false">
      <c r="A27" s="5" t="s">
        <v>154</v>
      </c>
      <c r="B27" s="24" t="n">
        <f aca="false">'P&amp;L'!B4</f>
        <v>2042700</v>
      </c>
      <c r="C27" s="24" t="n">
        <f aca="false">'P&amp;L'!C4</f>
        <v>7206570</v>
      </c>
      <c r="D27" s="24" t="n">
        <f aca="false">'P&amp;L'!D4</f>
        <v>17160275</v>
      </c>
    </row>
    <row r="28" customFormat="false" ht="15" hidden="false" customHeight="false" outlineLevel="0" collapsed="false">
      <c r="A28" s="5" t="s">
        <v>216</v>
      </c>
      <c r="B28" s="24" t="n">
        <f aca="false">'P&amp;L'!B16</f>
        <v>202732</v>
      </c>
      <c r="C28" s="24" t="n">
        <f aca="false">'P&amp;L'!C16</f>
        <v>1936961.3</v>
      </c>
      <c r="D28" s="24" t="n">
        <f aca="false">'P&amp;L'!D16</f>
        <v>6062815.75</v>
      </c>
    </row>
    <row r="29" customFormat="false" ht="15" hidden="false" customHeight="false" outlineLevel="0" collapsed="false">
      <c r="A29" s="4" t="s">
        <v>217</v>
      </c>
      <c r="B29" s="30" t="n">
        <f aca="false">B28+B26</f>
        <v>187732</v>
      </c>
      <c r="C29" s="30" t="n">
        <f aca="false">C28+C26</f>
        <v>1981961.3</v>
      </c>
      <c r="D29" s="30" t="n">
        <f aca="false">D28+D26</f>
        <v>6267815.75</v>
      </c>
    </row>
    <row r="30" customFormat="false" ht="15" hidden="false" customHeight="false" outlineLevel="0" collapsed="false">
      <c r="A30" s="5" t="s">
        <v>218</v>
      </c>
      <c r="B30" s="35" t="n">
        <f aca="false">IF(B27=0,0,B29/B27)</f>
        <v>0.0919038527439174</v>
      </c>
      <c r="C30" s="35" t="n">
        <f aca="false">IF(C27=0,0,C29/C27)</f>
        <v>0.275021445708569</v>
      </c>
      <c r="D30" s="35" t="n">
        <f aca="false">IF(D27=0,0,D29/D27)</f>
        <v>0.365251474699561</v>
      </c>
      <c r="G30" s="18" t="s">
        <v>219</v>
      </c>
    </row>
    <row r="31" customFormat="false" ht="15" hidden="false" customHeight="false" outlineLevel="0" collapsed="false">
      <c r="A31" s="5" t="s">
        <v>220</v>
      </c>
      <c r="B31" s="36" t="n">
        <f aca="false">IF(B15=0,0,B27/B15)</f>
        <v>583628.571428572</v>
      </c>
      <c r="C31" s="36" t="n">
        <f aca="false">IF(C15=0,0,C27/C15)</f>
        <v>655142.727272727</v>
      </c>
      <c r="D31" s="36" t="n">
        <f aca="false">IF(D15=0,0,D27/D15)</f>
        <v>858013.75</v>
      </c>
    </row>
    <row r="32" customFormat="false" ht="15" hidden="false" customHeight="false" outlineLevel="0" collapsed="false">
      <c r="A32" s="5" t="s">
        <v>221</v>
      </c>
      <c r="B32" s="24" t="n">
        <f aca="false">'P&amp;L'!B20</f>
        <v>408540</v>
      </c>
      <c r="C32" s="24" t="n">
        <f aca="false">'P&amp;L'!C20</f>
        <v>480438</v>
      </c>
      <c r="D32" s="24" t="n">
        <f aca="false">'P&amp;L'!D20</f>
        <v>612866.964285714</v>
      </c>
    </row>
    <row r="33" customFormat="false" ht="15" hidden="false" customHeight="false" outlineLevel="0" collapsed="false">
      <c r="A33" s="5" t="s">
        <v>222</v>
      </c>
      <c r="B33" s="35" t="n">
        <f aca="false">IF(B15=0,0,B12/B15)</f>
        <v>0.142857142857143</v>
      </c>
      <c r="C33" s="35" t="n">
        <f aca="false">IF(C15=0,0,C12/C15)</f>
        <v>0.272727272727273</v>
      </c>
      <c r="D33" s="35" t="n">
        <f aca="false">IF(D15=0,0,D12/D15)</f>
        <v>0.4</v>
      </c>
      <c r="G33" s="18" t="s">
        <v>223</v>
      </c>
    </row>
    <row r="34" customFormat="false" ht="15" hidden="false" customHeight="false" outlineLevel="0" collapsed="false">
      <c r="A34" s="5" t="s">
        <v>224</v>
      </c>
      <c r="B34" s="35" t="n">
        <f aca="false">IF(B21=0,0,B19/B21)</f>
        <v>0.0674157303370787</v>
      </c>
      <c r="C34" s="35" t="n">
        <f aca="false">IF(C21=0,0,C19/C21)</f>
        <v>0.0714285714285714</v>
      </c>
      <c r="D34" s="35" t="n">
        <f aca="false">IF(D21=0,0,D19/D21)</f>
        <v>0.0849056603773585</v>
      </c>
    </row>
    <row r="36" customFormat="false" ht="15" hidden="false" customHeight="false" outlineLevel="0" collapsed="false">
      <c r="A36" s="18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226</v>
      </c>
    </row>
    <row r="3" customFormat="false" ht="15" hidden="false" customHeight="false" outlineLevel="0" collapsed="false">
      <c r="A3" s="7" t="s">
        <v>227</v>
      </c>
      <c r="B3" s="8" t="s">
        <v>17</v>
      </c>
      <c r="C3" s="8" t="s">
        <v>18</v>
      </c>
      <c r="D3" s="8" t="s">
        <v>19</v>
      </c>
      <c r="E3" s="8" t="s">
        <v>228</v>
      </c>
      <c r="F3" s="8" t="s">
        <v>229</v>
      </c>
    </row>
    <row r="4" customFormat="false" ht="15" hidden="false" customHeight="false" outlineLevel="0" collapsed="false">
      <c r="A4" s="16" t="s">
        <v>230</v>
      </c>
      <c r="B4" s="26" t="n">
        <f aca="false">(Assumptions!$B$5+Assumptions!$B$8+MAX(0,Assumptions!$B$11-0)+Assumptions!$B$14+Assumptions!$B$17+(Assumptions!$B$44+Assumptions!$B$47)*Assumptions!$B$58)</f>
        <v>3065</v>
      </c>
      <c r="C4" s="26" t="n">
        <f aca="false">(Assumptions!$C$5+Assumptions!$C$8+MAX(0,Assumptions!$C$11-Assumptions!$B$11)+Assumptions!$C$14+Assumptions!$C$17+(Assumptions!$C$44+Assumptions!$C$47)*Assumptions!$C$58)</f>
        <v>10360</v>
      </c>
      <c r="D4" s="26" t="n">
        <f aca="false">(Assumptions!$D$5+Assumptions!$D$8+MAX(0,Assumptions!$D$11-Assumptions!$C$11)+Assumptions!$D$14+Assumptions!$D$17+(Assumptions!$D$44+Assumptions!$D$47)*Assumptions!$D$58)</f>
        <v>22158</v>
      </c>
      <c r="F4" s="18" t="s">
        <v>231</v>
      </c>
    </row>
    <row r="5" customFormat="false" ht="15" hidden="false" customHeight="false" outlineLevel="0" collapsed="false">
      <c r="A5" s="16" t="s">
        <v>232</v>
      </c>
      <c r="B5" s="28" t="n">
        <f aca="false">IF(B4=0,0,'P&amp;L'!B10/B4)</f>
        <v>233.26101141925</v>
      </c>
      <c r="C5" s="28" t="n">
        <f aca="false">IF(C4=0,0,'P&amp;L'!C10/C4)</f>
        <v>166.947567567568</v>
      </c>
      <c r="D5" s="28" t="n">
        <f aca="false">IF(D4=0,0,'P&amp;L'!D10/D4)</f>
        <v>162.634612780937</v>
      </c>
      <c r="E5" s="14" t="n">
        <v>180</v>
      </c>
      <c r="F5" s="16" t="str">
        <f aca="false">IF(D5&lt;=E5,"On target by Y3","Above target — needs organic/referral share")</f>
        <v>On target by Y3</v>
      </c>
    </row>
    <row r="6" customFormat="false" ht="15" hidden="false" customHeight="false" outlineLevel="0" collapsed="false">
      <c r="A6" s="16" t="s">
        <v>233</v>
      </c>
      <c r="B6" s="28" t="n">
        <f aca="false">Assumptions!$B$12*12*Assumptions!$B$77*Assumptions!$E$10</f>
        <v>1611.6</v>
      </c>
      <c r="C6" s="28" t="n">
        <f aca="false">Assumptions!$C$12*12*Assumptions!$B$77*Assumptions!$E$10</f>
        <v>1611.6</v>
      </c>
      <c r="D6" s="28" t="n">
        <f aca="false">Assumptions!$D$12*12*Assumptions!$B$77*Assumptions!$E$10</f>
        <v>1611.6</v>
      </c>
      <c r="E6" s="14" t="n">
        <v>1600</v>
      </c>
      <c r="F6" s="16" t="str">
        <f aca="false">IF(B6&gt;=E6,"Meets target","Below target")</f>
        <v>Meets target</v>
      </c>
    </row>
    <row r="7" customFormat="false" ht="15" hidden="false" customHeight="false" outlineLevel="0" collapsed="false">
      <c r="A7" s="16" t="s">
        <v>234</v>
      </c>
      <c r="B7" s="37" t="n">
        <f aca="false">IF(B5=0,0,B6/B5)</f>
        <v>6.90899859429746</v>
      </c>
      <c r="C7" s="37" t="n">
        <f aca="false">IF(C5=0,0,C6/C5)</f>
        <v>9.65333022505852</v>
      </c>
      <c r="D7" s="37" t="n">
        <f aca="false">IF(D5=0,0,D6/D5)</f>
        <v>9.9093297081278</v>
      </c>
      <c r="E7" s="38" t="n">
        <v>4</v>
      </c>
      <c r="F7" s="16" t="str">
        <f aca="false">IF(D7&gt;=E7,"On target by Y3","Below 4:1 — fix CAC first")</f>
        <v>On target by Y3</v>
      </c>
    </row>
    <row r="8" customFormat="false" ht="15" hidden="false" customHeight="false" outlineLevel="0" collapsed="false">
      <c r="A8" s="16" t="s">
        <v>147</v>
      </c>
      <c r="B8" s="29" t="n">
        <f aca="false">Revenue!D23</f>
        <v>0.372741959171685</v>
      </c>
      <c r="C8" s="29" t="n">
        <f aca="false">Revenue!E23</f>
        <v>0.450751189539545</v>
      </c>
      <c r="D8" s="29" t="n">
        <f aca="false">Revenue!F23</f>
        <v>0.50697177055729</v>
      </c>
      <c r="E8" s="17" t="n">
        <v>0.55</v>
      </c>
      <c r="F8" s="18" t="s">
        <v>235</v>
      </c>
    </row>
    <row r="9" customFormat="false" ht="15" hidden="false" customHeight="false" outlineLevel="0" collapsed="false">
      <c r="A9" s="16" t="s">
        <v>236</v>
      </c>
      <c r="B9" s="29" t="n">
        <f aca="false">'P&amp;L'!B7</f>
        <v>0.749752778185735</v>
      </c>
      <c r="C9" s="29" t="n">
        <f aca="false">'P&amp;L'!C7</f>
        <v>0.759861903790569</v>
      </c>
      <c r="D9" s="29" t="n">
        <f aca="false">'P&amp;L'!D7</f>
        <v>0.758792618416663</v>
      </c>
    </row>
    <row r="10" customFormat="false" ht="15" hidden="false" customHeight="false" outlineLevel="0" collapsed="false">
      <c r="A10" s="16" t="s">
        <v>163</v>
      </c>
      <c r="B10" s="29" t="n">
        <f aca="false">'P&amp;L'!B17</f>
        <v>0.0992470749498213</v>
      </c>
      <c r="C10" s="29" t="n">
        <f aca="false">'P&amp;L'!C17</f>
        <v>0.268777143634212</v>
      </c>
      <c r="D10" s="29" t="n">
        <f aca="false">'P&amp;L'!D17</f>
        <v>0.353305279198614</v>
      </c>
      <c r="E10" s="17" t="n">
        <v>0.3</v>
      </c>
      <c r="F10" s="18" t="s">
        <v>237</v>
      </c>
    </row>
    <row r="11" customFormat="false" ht="15" hidden="false" customHeight="false" outlineLevel="0" collapsed="false">
      <c r="A11" s="16" t="s">
        <v>238</v>
      </c>
      <c r="B11" s="26" t="n">
        <f aca="false">Assumptions!$B$11</f>
        <v>600</v>
      </c>
      <c r="C11" s="26" t="n">
        <f aca="false">Assumptions!$C$11</f>
        <v>1800</v>
      </c>
      <c r="D11" s="26" t="n">
        <f aca="false">Assumptions!$D$11</f>
        <v>3800</v>
      </c>
      <c r="E11" s="13" t="n">
        <v>3800</v>
      </c>
    </row>
    <row r="12" customFormat="false" ht="15" hidden="false" customHeight="false" outlineLevel="0" collapsed="false">
      <c r="A12" s="16" t="s">
        <v>239</v>
      </c>
      <c r="B12" s="26" t="n">
        <f aca="false">Assumptions!$B$14</f>
        <v>250</v>
      </c>
      <c r="C12" s="26" t="n">
        <f aca="false">Assumptions!$B$14+Assumptions!$C$14</f>
        <v>850</v>
      </c>
      <c r="D12" s="26" t="n">
        <f aca="false">Assumptions!$B$14+Assumptions!$C$14+Assumptions!$D$14</f>
        <v>1833</v>
      </c>
      <c r="E12" s="13" t="n">
        <v>1833</v>
      </c>
      <c r="F12" s="18" t="s">
        <v>240</v>
      </c>
    </row>
    <row r="13" customFormat="false" ht="15" hidden="false" customHeight="false" outlineLevel="0" collapsed="false">
      <c r="A13" s="16" t="s">
        <v>241</v>
      </c>
      <c r="B13" s="26" t="n">
        <f aca="false">Assumptions!$B$20</f>
        <v>4</v>
      </c>
      <c r="C13" s="26" t="n">
        <f aca="false">Assumptions!$C$20</f>
        <v>15</v>
      </c>
      <c r="D13" s="26" t="n">
        <f aca="false">Assumptions!$D$20</f>
        <v>30</v>
      </c>
      <c r="E13" s="13" t="n">
        <v>30</v>
      </c>
    </row>
    <row r="14" customFormat="false" ht="15" hidden="false" customHeight="false" outlineLevel="0" collapsed="false">
      <c r="A14" s="16" t="s">
        <v>242</v>
      </c>
      <c r="B14" s="26" t="n">
        <f aca="false">Assumptions!B69</f>
        <v>0</v>
      </c>
      <c r="C14" s="26" t="n">
        <f aca="false">Assumptions!C69</f>
        <v>3</v>
      </c>
      <c r="D14" s="26" t="n">
        <f aca="false">Assumptions!D69</f>
        <v>8</v>
      </c>
      <c r="E14" s="13" t="n">
        <v>8</v>
      </c>
    </row>
    <row r="15" customFormat="false" ht="15" hidden="false" customHeight="false" outlineLevel="0" collapsed="false">
      <c r="A15" s="16" t="s">
        <v>243</v>
      </c>
      <c r="B15" s="26" t="n">
        <f aca="false">Revenue!J6</f>
        <v>300</v>
      </c>
      <c r="C15" s="26" t="n">
        <f aca="false">Revenue!K6</f>
        <v>1350</v>
      </c>
      <c r="D15" s="26" t="n">
        <f aca="false">Revenue!L6</f>
        <v>3675</v>
      </c>
      <c r="F15" s="18" t="s">
        <v>244</v>
      </c>
    </row>
    <row r="16" customFormat="false" ht="15" hidden="false" customHeight="false" outlineLevel="0" collapsed="false">
      <c r="A16" s="16" t="s">
        <v>245</v>
      </c>
      <c r="B16" s="29" t="n">
        <f aca="false">IF(Revenue!D19=0,0,(Revenue!D17+Revenue!D18)/Revenue!D19)</f>
        <v>0.11494590492975</v>
      </c>
      <c r="C16" s="29" t="n">
        <f aca="false">IF(Revenue!E19=0,0,(Revenue!E17+Revenue!E18)/Revenue!E19)</f>
        <v>0.137090182985803</v>
      </c>
      <c r="D16" s="29" t="n">
        <f aca="false">IF(Revenue!F19=0,0,(Revenue!F17+Revenue!F18)/Revenue!F19)</f>
        <v>0.149611530118253</v>
      </c>
    </row>
    <row r="17" customFormat="false" ht="15" hidden="false" customHeight="false" outlineLevel="0" collapsed="false">
      <c r="A17" s="16" t="s">
        <v>246</v>
      </c>
      <c r="B17" s="28" t="n">
        <f aca="false">Assumptions!$B$11*Assumptions!$B$12</f>
        <v>47400</v>
      </c>
      <c r="C17" s="28" t="n">
        <f aca="false">Assumptions!$C$11*Assumptions!$C$12</f>
        <v>142200</v>
      </c>
      <c r="D17" s="28" t="n">
        <f aca="false">Assumptions!$D$11*Assumptions!$D$12</f>
        <v>300200</v>
      </c>
    </row>
    <row r="18" customFormat="false" ht="15" hidden="false" customHeight="false" outlineLevel="0" collapsed="false">
      <c r="A18" s="16" t="s">
        <v>247</v>
      </c>
      <c r="B18" s="26" t="n">
        <f aca="false">IF(Assumptions!B65=0,0,Assumptions!$B$11/Assumptions!B65)</f>
        <v>600</v>
      </c>
      <c r="C18" s="26" t="n">
        <f aca="false">IF(Assumptions!C65=0,0,Assumptions!$C$11/Assumptions!C65)</f>
        <v>900</v>
      </c>
      <c r="D18" s="26" t="n">
        <f aca="false">IF(Assumptions!D65=0,0,Assumptions!$D$11/Assumptions!D65)</f>
        <v>1266.66666666667</v>
      </c>
      <c r="F18" s="1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6" t="s">
        <v>249</v>
      </c>
    </row>
    <row r="3" customFormat="false" ht="15" hidden="false" customHeight="false" outlineLevel="0" collapsed="false">
      <c r="A3" s="7" t="s">
        <v>250</v>
      </c>
      <c r="B3" s="8" t="s">
        <v>17</v>
      </c>
      <c r="C3" s="8" t="s">
        <v>18</v>
      </c>
      <c r="D3" s="8" t="s">
        <v>19</v>
      </c>
      <c r="E3" s="8" t="s">
        <v>251</v>
      </c>
    </row>
    <row r="4" customFormat="false" ht="15" hidden="false" customHeight="false" outlineLevel="0" collapsed="false">
      <c r="A4" s="16" t="s">
        <v>154</v>
      </c>
      <c r="B4" s="24" t="n">
        <f aca="false">Revenue!D19</f>
        <v>2042700</v>
      </c>
      <c r="C4" s="24" t="n">
        <f aca="false">Revenue!E19</f>
        <v>7206570</v>
      </c>
      <c r="D4" s="24" t="n">
        <f aca="false">Revenue!F19</f>
        <v>17160275</v>
      </c>
      <c r="E4" s="18"/>
    </row>
    <row r="5" customFormat="false" ht="15" hidden="false" customHeight="false" outlineLevel="0" collapsed="false">
      <c r="A5" s="16" t="s">
        <v>162</v>
      </c>
      <c r="B5" s="24" t="n">
        <f aca="false">'P&amp;L'!B16</f>
        <v>202732</v>
      </c>
      <c r="C5" s="24" t="n">
        <f aca="false">'P&amp;L'!C16</f>
        <v>1936961.3</v>
      </c>
      <c r="D5" s="24" t="n">
        <f aca="false">'P&amp;L'!D16</f>
        <v>6062815.75</v>
      </c>
      <c r="E5" s="18"/>
    </row>
    <row r="6" customFormat="false" ht="15" hidden="false" customHeight="false" outlineLevel="0" collapsed="false">
      <c r="A6" s="16" t="s">
        <v>252</v>
      </c>
      <c r="B6" s="24" t="n">
        <f aca="false">Revenue!D19*Assumptions!$B$74</f>
        <v>7149450</v>
      </c>
      <c r="C6" s="24" t="n">
        <f aca="false">Revenue!E19*Assumptions!$B$74</f>
        <v>25222995</v>
      </c>
      <c r="D6" s="24" t="n">
        <f aca="false">Revenue!F19*Assumptions!$B$74</f>
        <v>60060962.5</v>
      </c>
      <c r="E6" s="18" t="s">
        <v>253</v>
      </c>
    </row>
    <row r="7" customFormat="false" ht="15" hidden="false" customHeight="false" outlineLevel="0" collapsed="false">
      <c r="A7" s="16" t="s">
        <v>254</v>
      </c>
      <c r="B7" s="24" t="n">
        <f aca="false">Revenue!D19*Assumptions!$B$75</f>
        <v>3268320</v>
      </c>
      <c r="C7" s="24" t="n">
        <f aca="false">Revenue!E19*Assumptions!$B$75</f>
        <v>11530512</v>
      </c>
      <c r="D7" s="24" t="n">
        <f aca="false">Revenue!F19*Assumptions!$B$75</f>
        <v>27456440</v>
      </c>
      <c r="E7" s="18" t="s">
        <v>255</v>
      </c>
    </row>
    <row r="8" customFormat="false" ht="15" hidden="false" customHeight="false" outlineLevel="0" collapsed="false">
      <c r="A8" s="16" t="s">
        <v>256</v>
      </c>
      <c r="B8" s="24" t="n">
        <f aca="false">MAX(0,'P&amp;L'!B16)*Assumptions!$B$76</f>
        <v>3649176</v>
      </c>
      <c r="C8" s="24" t="n">
        <f aca="false">MAX(0,'P&amp;L'!C16)*Assumptions!$B$76</f>
        <v>34865303.4</v>
      </c>
      <c r="D8" s="24" t="n">
        <f aca="false">MAX(0,'P&amp;L'!D16)*Assumptions!$B$76</f>
        <v>109130683.5</v>
      </c>
      <c r="E8" s="18" t="s">
        <v>257</v>
      </c>
    </row>
    <row r="10" customFormat="false" ht="15" hidden="false" customHeight="false" outlineLevel="0" collapsed="false">
      <c r="A10" s="39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259</v>
      </c>
    </row>
    <row r="3" customFormat="false" ht="15" hidden="false" customHeight="false" outlineLevel="0" collapsed="false">
      <c r="A3" s="7" t="s">
        <v>260</v>
      </c>
      <c r="B3" s="8" t="s">
        <v>261</v>
      </c>
      <c r="C3" s="8" t="s">
        <v>262</v>
      </c>
      <c r="D3" s="8" t="s">
        <v>263</v>
      </c>
    </row>
    <row r="4" customFormat="false" ht="15" hidden="false" customHeight="false" outlineLevel="0" collapsed="false">
      <c r="A4" s="16" t="s">
        <v>157</v>
      </c>
      <c r="B4" s="17" t="n">
        <v>0.35</v>
      </c>
      <c r="C4" s="28" t="n">
        <f aca="false">B4*Assumptions!$B$73</f>
        <v>875000</v>
      </c>
      <c r="D4" s="16" t="s">
        <v>264</v>
      </c>
    </row>
    <row r="5" customFormat="false" ht="15" hidden="false" customHeight="false" outlineLevel="0" collapsed="false">
      <c r="A5" s="16" t="s">
        <v>265</v>
      </c>
      <c r="B5" s="17" t="n">
        <v>0.25</v>
      </c>
      <c r="C5" s="28" t="n">
        <f aca="false">B5*Assumptions!$B$73</f>
        <v>625000</v>
      </c>
      <c r="D5" s="16" t="s">
        <v>266</v>
      </c>
    </row>
    <row r="6" customFormat="false" ht="15" hidden="false" customHeight="false" outlineLevel="0" collapsed="false">
      <c r="A6" s="16" t="s">
        <v>267</v>
      </c>
      <c r="B6" s="17" t="n">
        <v>0.2</v>
      </c>
      <c r="C6" s="28" t="n">
        <f aca="false">B6*Assumptions!$B$73</f>
        <v>500000</v>
      </c>
      <c r="D6" s="16" t="s">
        <v>268</v>
      </c>
    </row>
    <row r="7" customFormat="false" ht="15" hidden="false" customHeight="false" outlineLevel="0" collapsed="false">
      <c r="A7" s="16" t="s">
        <v>107</v>
      </c>
      <c r="B7" s="17" t="n">
        <v>0.12</v>
      </c>
      <c r="C7" s="28" t="n">
        <f aca="false">B7*Assumptions!$B$73</f>
        <v>300000</v>
      </c>
      <c r="D7" s="16" t="s">
        <v>269</v>
      </c>
    </row>
    <row r="8" customFormat="false" ht="15" hidden="false" customHeight="false" outlineLevel="0" collapsed="false">
      <c r="A8" s="16" t="s">
        <v>270</v>
      </c>
      <c r="B8" s="17" t="n">
        <v>0.08</v>
      </c>
      <c r="C8" s="28" t="n">
        <f aca="false">B8*Assumptions!$B$73</f>
        <v>200000</v>
      </c>
      <c r="D8" s="16" t="s">
        <v>271</v>
      </c>
    </row>
    <row r="9" customFormat="false" ht="15" hidden="false" customHeight="false" outlineLevel="0" collapsed="false">
      <c r="A9" s="4" t="s">
        <v>272</v>
      </c>
      <c r="B9" s="40" t="n">
        <f aca="false">SUM(B4:B8)</f>
        <v>1</v>
      </c>
      <c r="C9" s="30" t="n">
        <f aca="false">SUM(C4:C8)</f>
        <v>2500000</v>
      </c>
      <c r="D9" s="16" t="str">
        <f aca="false">IF(ROUND(B9,4)=1,"Allocation sums to 100%","CHECK: allocation ≠ 100%")</f>
        <v>Allocation sums to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273</v>
      </c>
    </row>
    <row r="3" customFormat="false" ht="15" hidden="false" customHeight="false" outlineLevel="0" collapsed="false">
      <c r="A3" s="7" t="s">
        <v>274</v>
      </c>
      <c r="B3" s="8" t="s">
        <v>275</v>
      </c>
      <c r="C3" s="8" t="s">
        <v>276</v>
      </c>
      <c r="D3" s="8" t="s">
        <v>277</v>
      </c>
      <c r="E3" s="8" t="s">
        <v>278</v>
      </c>
      <c r="F3" s="8" t="s">
        <v>279</v>
      </c>
      <c r="G3" s="8" t="s">
        <v>280</v>
      </c>
      <c r="H3" s="8" t="s">
        <v>281</v>
      </c>
    </row>
    <row r="4" customFormat="false" ht="15" hidden="false" customHeight="false" outlineLevel="0" collapsed="false">
      <c r="A4" s="16" t="s">
        <v>282</v>
      </c>
      <c r="B4" s="14" t="n">
        <v>1800000</v>
      </c>
      <c r="C4" s="24" t="n">
        <f aca="false">Revenue!D19</f>
        <v>2042700</v>
      </c>
      <c r="D4" s="14" t="n">
        <v>6200000</v>
      </c>
      <c r="E4" s="24" t="n">
        <f aca="false">Revenue!E19</f>
        <v>7206570</v>
      </c>
      <c r="F4" s="14" t="n">
        <v>14600000</v>
      </c>
      <c r="G4" s="24" t="n">
        <f aca="false">Revenue!F19</f>
        <v>17160275</v>
      </c>
      <c r="H4" s="28" t="n">
        <f aca="false">G4-F4</f>
        <v>2560275</v>
      </c>
    </row>
    <row r="5" customFormat="false" ht="15" hidden="false" customHeight="false" outlineLevel="0" collapsed="false">
      <c r="A5" s="16" t="s">
        <v>283</v>
      </c>
      <c r="B5" s="14" t="n">
        <v>1800000</v>
      </c>
      <c r="C5" s="24" t="n">
        <f aca="false">Revenue!D19-Revenue!D17-Revenue!D18</f>
        <v>1807900</v>
      </c>
      <c r="D5" s="14" t="n">
        <v>6200000</v>
      </c>
      <c r="E5" s="24" t="n">
        <f aca="false">Revenue!E19-Revenue!E17-Revenue!E18</f>
        <v>6218620</v>
      </c>
      <c r="F5" s="14" t="n">
        <v>14600000</v>
      </c>
      <c r="G5" s="24" t="n">
        <f aca="false">Revenue!F19-Revenue!F17-Revenue!F18</f>
        <v>14592900</v>
      </c>
      <c r="H5" s="28" t="n">
        <f aca="false">G5-F5</f>
        <v>-7100</v>
      </c>
    </row>
    <row r="6" customFormat="false" ht="15" hidden="false" customHeight="false" outlineLevel="0" collapsed="false">
      <c r="A6" s="16" t="s">
        <v>147</v>
      </c>
      <c r="B6" s="17" t="n">
        <v>0.2</v>
      </c>
      <c r="C6" s="41" t="n">
        <f aca="false">Revenue!D23</f>
        <v>0.372741959171685</v>
      </c>
      <c r="D6" s="17" t="n">
        <v>0.4</v>
      </c>
      <c r="E6" s="41" t="n">
        <f aca="false">Revenue!E23</f>
        <v>0.450751189539545</v>
      </c>
      <c r="F6" s="17" t="n">
        <v>0.55</v>
      </c>
      <c r="G6" s="41" t="n">
        <f aca="false">Revenue!F23</f>
        <v>0.50697177055729</v>
      </c>
      <c r="H6" s="29" t="n">
        <f aca="false">G6-F6</f>
        <v>-0.04302822944271</v>
      </c>
    </row>
    <row r="7" customFormat="false" ht="15" hidden="false" customHeight="false" outlineLevel="0" collapsed="false">
      <c r="A7" s="16" t="s">
        <v>163</v>
      </c>
      <c r="B7" s="17" t="n">
        <v>0.05</v>
      </c>
      <c r="C7" s="41" t="n">
        <f aca="false">'P&amp;L'!B17</f>
        <v>0.0992470749498213</v>
      </c>
      <c r="D7" s="17" t="n">
        <v>0.22</v>
      </c>
      <c r="E7" s="41" t="n">
        <f aca="false">'P&amp;L'!C17</f>
        <v>0.268777143634212</v>
      </c>
      <c r="F7" s="17" t="n">
        <v>0.3</v>
      </c>
      <c r="G7" s="41" t="n">
        <f aca="false">'P&amp;L'!D17</f>
        <v>0.353305279198614</v>
      </c>
      <c r="H7" s="29" t="n">
        <f aca="false">G7-F7</f>
        <v>0.0533052791986143</v>
      </c>
    </row>
    <row r="8" customFormat="false" ht="15" hidden="false" customHeight="false" outlineLevel="0" collapsed="false">
      <c r="A8" s="16" t="s">
        <v>284</v>
      </c>
      <c r="B8" s="13" t="n">
        <v>600</v>
      </c>
      <c r="C8" s="25" t="n">
        <f aca="false">Assumptions!$B$11</f>
        <v>600</v>
      </c>
      <c r="D8" s="13" t="n">
        <v>1800</v>
      </c>
      <c r="E8" s="25" t="n">
        <f aca="false">Assumptions!$C$11</f>
        <v>1800</v>
      </c>
      <c r="F8" s="13" t="n">
        <v>3800</v>
      </c>
      <c r="G8" s="25" t="n">
        <f aca="false">Assumptions!$D$11</f>
        <v>3800</v>
      </c>
      <c r="H8" s="26" t="n">
        <f aca="false">G8-F8</f>
        <v>0</v>
      </c>
    </row>
    <row r="9" customFormat="false" ht="15" hidden="false" customHeight="false" outlineLevel="0" collapsed="false">
      <c r="A9" s="16" t="s">
        <v>241</v>
      </c>
      <c r="B9" s="13" t="n">
        <v>4</v>
      </c>
      <c r="C9" s="25" t="n">
        <f aca="false">Assumptions!$B$20</f>
        <v>4</v>
      </c>
      <c r="D9" s="13" t="n">
        <v>15</v>
      </c>
      <c r="E9" s="25" t="n">
        <f aca="false">Assumptions!$C$20</f>
        <v>15</v>
      </c>
      <c r="F9" s="13" t="n">
        <v>30</v>
      </c>
      <c r="G9" s="25" t="n">
        <f aca="false">Assumptions!$D$20</f>
        <v>30</v>
      </c>
      <c r="H9" s="26" t="n">
        <f aca="false">G9-F9</f>
        <v>0</v>
      </c>
    </row>
    <row r="10" customFormat="false" ht="15" hidden="false" customHeight="false" outlineLevel="0" collapsed="false">
      <c r="A10" s="16" t="s">
        <v>242</v>
      </c>
      <c r="B10" s="13" t="n">
        <v>0</v>
      </c>
      <c r="C10" s="25" t="n">
        <f aca="false">Assumptions!B69</f>
        <v>0</v>
      </c>
      <c r="D10" s="13" t="n">
        <v>3</v>
      </c>
      <c r="E10" s="25" t="n">
        <f aca="false">Assumptions!C69</f>
        <v>3</v>
      </c>
      <c r="F10" s="13" t="n">
        <v>8</v>
      </c>
      <c r="G10" s="25" t="n">
        <f aca="false">Assumptions!D69</f>
        <v>8</v>
      </c>
      <c r="H10" s="26" t="n">
        <f aca="false">G10-F10</f>
        <v>0</v>
      </c>
    </row>
    <row r="11" customFormat="false" ht="15" hidden="false" customHeight="false" outlineLevel="0" collapsed="false">
      <c r="A11" s="16" t="s">
        <v>285</v>
      </c>
      <c r="B11" s="14" t="n">
        <v>6300000</v>
      </c>
      <c r="C11" s="24" t="n">
        <f aca="false">Valuation!B6</f>
        <v>7149450</v>
      </c>
      <c r="D11" s="14" t="n">
        <v>21700000</v>
      </c>
      <c r="E11" s="24" t="n">
        <f aca="false">Valuation!C6</f>
        <v>25222995</v>
      </c>
      <c r="F11" s="14" t="n">
        <v>51000000</v>
      </c>
      <c r="G11" s="24" t="n">
        <f aca="false">Valuation!D6</f>
        <v>60060962.5</v>
      </c>
      <c r="H11" s="28" t="n">
        <f aca="false">G11-F11</f>
        <v>9060962.5</v>
      </c>
    </row>
    <row r="13" customFormat="false" ht="15" hidden="false" customHeight="false" outlineLevel="0" collapsed="false">
      <c r="A13" s="39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2026-09-27T15:27:53Z</dcterms:created>
  <dc:creator>openpyxl</dc:creator>
  <dc:description/>
  <dc:language>en-US</dc:language>
  <cp:lastModifiedBy/>
  <dcterms:modified xsi:type="dcterms:W3CDTF">2026-09-27T15:27:53Z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